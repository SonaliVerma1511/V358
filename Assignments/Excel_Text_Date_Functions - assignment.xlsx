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Assignments/"/>
    </mc:Choice>
  </mc:AlternateContent>
  <xr:revisionPtr revIDLastSave="115" documentId="13_ncr:1_{43AF9261-C66E-40DE-80A3-C3F14857886D}" xr6:coauthVersionLast="47" xr6:coauthVersionMax="47" xr10:uidLastSave="{4172B976-2F61-4ED8-BF36-AE4F1DDE6B3F}"/>
  <bookViews>
    <workbookView xWindow="-108" yWindow="-108" windowWidth="23256" windowHeight="12456" tabRatio="500" xr2:uid="{00000000-000D-0000-FFFF-FFFF00000000}"/>
  </bookViews>
  <sheets>
    <sheet name="CRM Dataset" sheetId="1" r:id="rId1"/>
    <sheet name="LEFT RIGHT MID LEN" sheetId="2" r:id="rId2"/>
    <sheet name="UPPER LOWER PROPER TRIM CLEAN" sheetId="3" r:id="rId3"/>
    <sheet name="FIND SEARCH SUBSTITUTE REPLACE" sheetId="4" r:id="rId4"/>
    <sheet name="CONCAT TEXTJOIN TEXT" sheetId="5" r:id="rId5"/>
    <sheet name="TODAY NOW DATE TIME" sheetId="6" r:id="rId6"/>
    <sheet name="YEAR MONTH DAY WEEKDAY WEEKNUM" sheetId="7" r:id="rId7"/>
    <sheet name="DATEDIF DAYS NETWORKDAYS EDATE" sheetId="8" r:id="rId8"/>
    <sheet name="HOUR MINUTE SECOND TIMEVALUE" sheetId="9" r:id="rId9"/>
    <sheet name="Practice Exercises" sheetId="10" r:id="rId10"/>
    <sheet name="Quick Reference" sheetId="11" r:id="rId11"/>
  </sheets>
  <definedNames>
    <definedName name="city">'CRM Dataset'!$E$4:$E$28</definedName>
    <definedName name="cust_email">'CRM Dataset'!$C$4:$C$28</definedName>
    <definedName name="cust_name">'CRM Dataset'!$B$4:$B$28</definedName>
    <definedName name="cust_phone">'CRM Dataset'!$D$4:$D$28</definedName>
    <definedName name="CustID">'CRM Dataset'!$A$4:$A$28</definedName>
    <definedName name="join_date">'CRM Dataset'!$K$4:$K$28</definedName>
    <definedName name="last_login_time">'CRM Dataset'!$O$4:$O$28</definedName>
    <definedName name="last_name">'CRM Dataset'!$L$4:$L$28</definedName>
    <definedName name="plan">'CRM Dataset'!$H$4:$H$28</definedName>
    <definedName name="region">'CRM Dataset'!$F$4:$F$28</definedName>
    <definedName name="Renewal_Date">'CRM Dataset'!$M$4:$M$28</definedName>
    <definedName name="revenue">'CRM Dataset'!$N$4:$N$28</definedName>
    <definedName name="segment">'CRM Dataset'!$G$4:$G$28</definedName>
    <definedName name="source">'CRM Dataset'!$J$4:$J$28</definedName>
    <definedName name="Status">'CRM Dataset'!$I$4:$I$28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14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</calcChain>
</file>

<file path=xl/sharedStrings.xml><?xml version="1.0" encoding="utf-8"?>
<sst xmlns="http://schemas.openxmlformats.org/spreadsheetml/2006/main" count="1343" uniqueCount="702">
  <si>
    <t>CRM Customer Dataset  --  25 rows with intentionally messy names, emails and phones for text function practice</t>
  </si>
  <si>
    <t>Columns:  A=Cust ID  B=Raw Name (messy casing/spaces)  C=Email (extra spaces)  D=Phone (mixed formats)  E=City  F=Region  G=Segment  H=Plan  I=Status  J=Source  K=Join Date  L=Last Order  M=Renewal Date  N=Revenue  O=Last Login Time  (Data rows 3-27)</t>
  </si>
  <si>
    <t>Cust ID</t>
  </si>
  <si>
    <t>Raw Name</t>
  </si>
  <si>
    <t>Email (messy)</t>
  </si>
  <si>
    <t>Phone (messy)</t>
  </si>
  <si>
    <t>City</t>
  </si>
  <si>
    <t>Region</t>
  </si>
  <si>
    <t>Segment</t>
  </si>
  <si>
    <t>Plan</t>
  </si>
  <si>
    <t>Status</t>
  </si>
  <si>
    <t>Source</t>
  </si>
  <si>
    <t>Join Date</t>
  </si>
  <si>
    <t>Last Order</t>
  </si>
  <si>
    <t>Renewal Date</t>
  </si>
  <si>
    <t>Revenue</t>
  </si>
  <si>
    <t>Last Login Time</t>
  </si>
  <si>
    <t>CRM0001</t>
  </si>
  <si>
    <t>Alice Johnson</t>
  </si>
  <si>
    <t xml:space="preserve">  alice.johnson@hotmail.com  </t>
  </si>
  <si>
    <t>+91-97436-42838</t>
  </si>
  <si>
    <t>Hyderabad</t>
  </si>
  <si>
    <t>West</t>
  </si>
  <si>
    <t>Education</t>
  </si>
  <si>
    <t>Custom</t>
  </si>
  <si>
    <t>Active</t>
  </si>
  <si>
    <t>Event</t>
  </si>
  <si>
    <t>2024-03-16 14:46:39</t>
  </si>
  <si>
    <t>CRM0002</t>
  </si>
  <si>
    <t>Bob Smith</t>
  </si>
  <si>
    <t xml:space="preserve">  bob.smith@biz.net  </t>
  </si>
  <si>
    <t>(9982) 965-198</t>
  </si>
  <si>
    <t>Ahmedabad</t>
  </si>
  <si>
    <t>South</t>
  </si>
  <si>
    <t>Enterprise</t>
  </si>
  <si>
    <t>Partner</t>
  </si>
  <si>
    <t>2024-03-12 15:20:25</t>
  </si>
  <si>
    <t>CRM0003</t>
  </si>
  <si>
    <t xml:space="preserve">  CAROL WHITE  </t>
  </si>
  <si>
    <t xml:space="preserve">  carol.white@gmail.com  </t>
  </si>
  <si>
    <t>+91-95565-61458</t>
  </si>
  <si>
    <t>Jaipur</t>
  </si>
  <si>
    <t>Trial</t>
  </si>
  <si>
    <t>Cold Call</t>
  </si>
  <si>
    <t>2024-03-16 22:45:10</t>
  </si>
  <si>
    <t>CRM0004</t>
  </si>
  <si>
    <t>David Brown</t>
  </si>
  <si>
    <t xml:space="preserve">  david.brown@webmail.com  </t>
  </si>
  <si>
    <t>9739324688</t>
  </si>
  <si>
    <t>Mumbai</t>
  </si>
  <si>
    <t>North</t>
  </si>
  <si>
    <t>Pro</t>
  </si>
  <si>
    <t>Prospect</t>
  </si>
  <si>
    <t>2024-03-12 22:27:40</t>
  </si>
  <si>
    <t>CRM0005</t>
  </si>
  <si>
    <t xml:space="preserve">  EVA GREEN  </t>
  </si>
  <si>
    <t xml:space="preserve">  eva.green@company.io  </t>
  </si>
  <si>
    <t>+91-97629-18409</t>
  </si>
  <si>
    <t>Kolkata</t>
  </si>
  <si>
    <t>2024-03-22 21:48:08</t>
  </si>
  <si>
    <t>CRM0006</t>
  </si>
  <si>
    <t xml:space="preserve">  Frank  Lee  </t>
  </si>
  <si>
    <t xml:space="preserve">  frank.lee@webmail.com  </t>
  </si>
  <si>
    <t>+91-91599-33789</t>
  </si>
  <si>
    <t>Bangalore</t>
  </si>
  <si>
    <t>Central</t>
  </si>
  <si>
    <t>Government</t>
  </si>
  <si>
    <t>Basic</t>
  </si>
  <si>
    <t>Website</t>
  </si>
  <si>
    <t>2024-03-19 10:11:26</t>
  </si>
  <si>
    <t>CRM0007</t>
  </si>
  <si>
    <t xml:space="preserve">  GRACE KIM  </t>
  </si>
  <si>
    <t xml:space="preserve">  grace.kim@hotmail.com  </t>
  </si>
  <si>
    <t>(9702) 332-368</t>
  </si>
  <si>
    <t>Delhi</t>
  </si>
  <si>
    <t>East</t>
  </si>
  <si>
    <t>SMB</t>
  </si>
  <si>
    <t>Onboarding</t>
  </si>
  <si>
    <t>2024-03-28 21:03:21</t>
  </si>
  <si>
    <t>CRM0008</t>
  </si>
  <si>
    <t>henry davis</t>
  </si>
  <si>
    <t xml:space="preserve">  henry.davis@corp.in  </t>
  </si>
  <si>
    <t>9461586830</t>
  </si>
  <si>
    <t>Pune</t>
  </si>
  <si>
    <t>2024-03-22 20:28:14</t>
  </si>
  <si>
    <t>CRM0009</t>
  </si>
  <si>
    <t xml:space="preserve">  Isla  Martin  </t>
  </si>
  <si>
    <t xml:space="preserve">  isla.martin@hotmail.com  </t>
  </si>
  <si>
    <t>9801543876</t>
  </si>
  <si>
    <t>Chennai</t>
  </si>
  <si>
    <t>Email Campaign</t>
  </si>
  <si>
    <t>2024-03-24 14:58:16</t>
  </si>
  <si>
    <t>CRM0010</t>
  </si>
  <si>
    <t xml:space="preserve">  JACK WILSON  </t>
  </si>
  <si>
    <t xml:space="preserve">  jack.wilson@company.io  </t>
  </si>
  <si>
    <t>9835306774</t>
  </si>
  <si>
    <t>2024-03-15 12:24:43</t>
  </si>
  <si>
    <t>CRM0011</t>
  </si>
  <si>
    <t>Karen Taylor</t>
  </si>
  <si>
    <t xml:space="preserve">  karen.taylor@webmail.com  </t>
  </si>
  <si>
    <t>(9308) 812-623</t>
  </si>
  <si>
    <t>Churned</t>
  </si>
  <si>
    <t>2024-03-17 14:55:55</t>
  </si>
  <si>
    <t>CRM0012</t>
  </si>
  <si>
    <t xml:space="preserve">  Liam  Moore  </t>
  </si>
  <si>
    <t xml:space="preserve">  liam.moore@corp.in  </t>
  </si>
  <si>
    <t>+91-91038-85085</t>
  </si>
  <si>
    <t>Referral</t>
  </si>
  <si>
    <t>2024-03-23 15:35:33</t>
  </si>
  <si>
    <t>CRM0013</t>
  </si>
  <si>
    <t>Mia Anderson</t>
  </si>
  <si>
    <t xml:space="preserve">  mia.anderson@company.io  </t>
  </si>
  <si>
    <t>9315053957</t>
  </si>
  <si>
    <t>Surat</t>
  </si>
  <si>
    <t>2024-03-28 17:18:12</t>
  </si>
  <si>
    <t>CRM0014</t>
  </si>
  <si>
    <t>Noah Thomas</t>
  </si>
  <si>
    <t xml:space="preserve">  noah.thomas@corp.in  </t>
  </si>
  <si>
    <t>9527828713</t>
  </si>
  <si>
    <t>2024-03-15 13:16:13</t>
  </si>
  <si>
    <t>CRM0015</t>
  </si>
  <si>
    <t>olivia harris</t>
  </si>
  <si>
    <t xml:space="preserve">  olivia.harris@corp.in  </t>
  </si>
  <si>
    <t>9297208362</t>
  </si>
  <si>
    <t>Inactive</t>
  </si>
  <si>
    <t>LinkedIn</t>
  </si>
  <si>
    <t>2024-03-10 09:21:50</t>
  </si>
  <si>
    <t>CRM0016</t>
  </si>
  <si>
    <t>Peter Clark</t>
  </si>
  <si>
    <t xml:space="preserve">  peter.clark@biz.net  </t>
  </si>
  <si>
    <t>9803496718</t>
  </si>
  <si>
    <t>2024-03-14 17:58:03</t>
  </si>
  <si>
    <t>CRM0017</t>
  </si>
  <si>
    <t xml:space="preserve">  Quinn  Lewis  </t>
  </si>
  <si>
    <t xml:space="preserve">  quinn.lewis@gmail.com  </t>
  </si>
  <si>
    <t>+91 9467638183</t>
  </si>
  <si>
    <t>2024-03-15 12:17:42</t>
  </si>
  <si>
    <t>CRM0018</t>
  </si>
  <si>
    <t xml:space="preserve">  Ryan  Walker  </t>
  </si>
  <si>
    <t xml:space="preserve">  ryan.walker@hotmail.com  </t>
  </si>
  <si>
    <t>+91 9932782413</t>
  </si>
  <si>
    <t>2024-03-12 08:48:32</t>
  </si>
  <si>
    <t>CRM0019</t>
  </si>
  <si>
    <t>Sara Hall</t>
  </si>
  <si>
    <t xml:space="preserve">  sara.hall@outlook.com  </t>
  </si>
  <si>
    <t>9480006467</t>
  </si>
  <si>
    <t>2024-03-23 11:19:11</t>
  </si>
  <si>
    <t>CRM0020</t>
  </si>
  <si>
    <t>Tom Young</t>
  </si>
  <si>
    <t xml:space="preserve">  tom.young@outlook.com  </t>
  </si>
  <si>
    <t>+91 9633174470</t>
  </si>
  <si>
    <t>2024-03-12 22:52:10</t>
  </si>
  <si>
    <t>CRM0021</t>
  </si>
  <si>
    <t>Uma Scott</t>
  </si>
  <si>
    <t xml:space="preserve">  uma.scott@outlook.com  </t>
  </si>
  <si>
    <t>(9931) 124-589</t>
  </si>
  <si>
    <t>2024-03-10 22:18:51</t>
  </si>
  <si>
    <t>CRM0022</t>
  </si>
  <si>
    <t>Victor King</t>
  </si>
  <si>
    <t xml:space="preserve">  victor.king@company.io  </t>
  </si>
  <si>
    <t>(9232) 719-732</t>
  </si>
  <si>
    <t>2024-03-11 14:52:17</t>
  </si>
  <si>
    <t>CRM0023</t>
  </si>
  <si>
    <t>Wendy Wright</t>
  </si>
  <si>
    <t xml:space="preserve">  wendy.wright@outlook.com  </t>
  </si>
  <si>
    <t>9844781015</t>
  </si>
  <si>
    <t>2024-03-16 11:41:16</t>
  </si>
  <si>
    <t>CRM0024</t>
  </si>
  <si>
    <t>xander lopez</t>
  </si>
  <si>
    <t xml:space="preserve">  xander.lopez@yahoo.com  </t>
  </si>
  <si>
    <t>+91-95667-67798</t>
  </si>
  <si>
    <t>2024-03-14 08:59:41</t>
  </si>
  <si>
    <t>CRM0025</t>
  </si>
  <si>
    <t xml:space="preserve">  YARA HILL  </t>
  </si>
  <si>
    <t xml:space="preserve">  yara.hill@corp.in  </t>
  </si>
  <si>
    <t>+91-95791-52218</t>
  </si>
  <si>
    <t>2024-03-15 11:46:36</t>
  </si>
  <si>
    <t>LEFT  |  RIGHT  |  MID  |  LEN  --  Extract and Measure Text</t>
  </si>
  <si>
    <t>LEFT(text,n) extracts n chars from the start.  RIGHT(text,n) from the end.  MID(text,start,n) extracts n chars from a given position.  LEN returns the character count.  These are the building blocks for all text parsing tasks.</t>
  </si>
  <si>
    <t>Email (raw)</t>
  </si>
  <si>
    <t>LEN</t>
  </si>
  <si>
    <t>LEFT(5)</t>
  </si>
  <si>
    <t>RIGHT(8)</t>
  </si>
  <si>
    <t>MID: Domain</t>
  </si>
  <si>
    <t>Extract Username</t>
  </si>
  <si>
    <t>Formula Examples and Explanation</t>
  </si>
  <si>
    <t>'=LEFT("CRM0001",3)</t>
  </si>
  <si>
    <t>Returns CRM -- first 3 characters</t>
  </si>
  <si>
    <t>'=RIGHT("alice@gmail.com",9)</t>
  </si>
  <si>
    <t>Returns gmail.com -- last 9 characters</t>
  </si>
  <si>
    <t>'=MID("alice@gmail.com",7,9)</t>
  </si>
  <si>
    <t>Returns gmail.com -- 9 chars starting at position 7</t>
  </si>
  <si>
    <t>'=LEN("  hello  ")</t>
  </si>
  <si>
    <t>Returns 9 -- includes spaces; use TRIM first for clean count</t>
  </si>
  <si>
    <t>'=LEN(TRIM(text))</t>
  </si>
  <si>
    <t>Clean length after trimming leading/trailing spaces</t>
  </si>
  <si>
    <t>'=LEFT(email,FIND("@",email)-1)</t>
  </si>
  <si>
    <t>Extract username dynamically -- works for any email length</t>
  </si>
  <si>
    <t>'=MID(text,FIND("@",text)+1,LEN(text))</t>
  </si>
  <si>
    <t>Extract domain -- from after @ to end of string</t>
  </si>
  <si>
    <t>UPPER  |  LOWER  |  PROPER  |  TRIM  |  CLEAN  --  Text Standardisation</t>
  </si>
  <si>
    <t>UPPER converts to ALL CAPS.  LOWER converts to all lowercase.  PROPER capitalises Each Word.  TRIM removes leading, trailing and extra internal spaces (keeps single spaces between words).  CLEAN removes non-printable characters.  Combine PROPER+TRIM for standardising messy name columns.</t>
  </si>
  <si>
    <t>Raw Name (messy)</t>
  </si>
  <si>
    <t>UPPER</t>
  </si>
  <si>
    <t>LOWER</t>
  </si>
  <si>
    <t>PROPER</t>
  </si>
  <si>
    <t>TRIM only</t>
  </si>
  <si>
    <t>PROPER + TRIM</t>
  </si>
  <si>
    <t>'=UPPER("alice johnson")</t>
  </si>
  <si>
    <t>Returns ALICE JOHNSON -- useful for key matching</t>
  </si>
  <si>
    <t>'=LOWER("ALICE@GMAIL.COM")</t>
  </si>
  <si>
    <t>Returns alice@gmail.com -- normalise emails before lookup</t>
  </si>
  <si>
    <t>'=PROPER("alice johnson")</t>
  </si>
  <si>
    <t>Returns Alice Johnson -- title case for display</t>
  </si>
  <si>
    <t>'=TRIM("  Alice  Johnson  ")</t>
  </si>
  <si>
    <t>Returns Alice Johnson -- removes all extra spaces</t>
  </si>
  <si>
    <t>'=PROPER(TRIM(name_cell))</t>
  </si>
  <si>
    <t>Gold standard for cleaning messy name columns</t>
  </si>
  <si>
    <t>'=LOWER(TRIM(CLEAN(email_cell)))</t>
  </si>
  <si>
    <t>Gold standard for cleaning email addresses</t>
  </si>
  <si>
    <t>TRIM vs CLEAN</t>
  </si>
  <si>
    <t>TRIM removes spaces; CLEAN removes non-printable chars (from imports)</t>
  </si>
  <si>
    <t>'=LEN(A1)&lt;&gt;LEN(TRIM(A1))</t>
  </si>
  <si>
    <t>Returns TRUE if cell has leading/trailing spaces -- data quality check</t>
  </si>
  <si>
    <t>FIND  |  SEARCH  |  SUBSTITUTE  |  REPLACE  --  Locate and Modify Text</t>
  </si>
  <si>
    <t>FIND returns position of text (case-sensitive).  SEARCH is case-insensitive.  SUBSTITUTE replaces every occurrence of old text with new text.  REPLACE replaces text at a specific position/length.  FIND/SEARCH return errors if not found -- wrap with IFERROR.</t>
  </si>
  <si>
    <t>Phone (raw)</t>
  </si>
  <si>
    <t>FIND @</t>
  </si>
  <si>
    <t>SEARCH .com</t>
  </si>
  <si>
    <t>SUBSTITUTE: clean phone</t>
  </si>
  <si>
    <t>REPLACE: mask email</t>
  </si>
  <si>
    <t>Check: has gmail</t>
  </si>
  <si>
    <t>'=FIND("@","alice@gmail.com")</t>
  </si>
  <si>
    <t>Returns 6 -- position of @ (case-sensitive)</t>
  </si>
  <si>
    <t>'=SEARCH("GMAIL","alice@gmail.com")</t>
  </si>
  <si>
    <t>Returns 7 -- case-insensitive, finds gmail</t>
  </si>
  <si>
    <t>'=IFERROR(FIND("@",text),0)</t>
  </si>
  <si>
    <t>Safe pattern: returns 0 if @ not found</t>
  </si>
  <si>
    <t>'=SUBSTITUTE(phone,"-","")</t>
  </si>
  <si>
    <t>Remove all hyphens from phone number</t>
  </si>
  <si>
    <t>'=SUBSTITUTE(text,"old","new",2)</t>
  </si>
  <si>
    <t>Replace only the 2nd occurrence (instance param)</t>
  </si>
  <si>
    <t>'=REPLACE("CRM0001",4,4,"9999")</t>
  </si>
  <si>
    <t>Returns CRM9999 -- replace 4 chars starting at pos 4</t>
  </si>
  <si>
    <t>FIND vs SEARCH</t>
  </si>
  <si>
    <t>FIND is case-sensitive and faster; SEARCH supports wildcards</t>
  </si>
  <si>
    <t>'=IF(IFERROR(SEARCH("gmail",email),0)&gt;0,"Yes","No")</t>
  </si>
  <si>
    <t>Check if email contains gmail -- common data filter</t>
  </si>
  <si>
    <t>CONCATENATE  |  CONCAT  |  TEXTJOIN  |  TEXT  --  Combine and Format Text</t>
  </si>
  <si>
    <t>CONCATENATE joins text strings (legacy).  CONCAT is the modern replacement (no separator).  TEXTJOIN joins with a delimiter and can skip blanks (Excel 2019+).  TEXT converts a number or date to formatted text -- critical for building dynamic labels.</t>
  </si>
  <si>
    <t>First Name</t>
  </si>
  <si>
    <t>Last Name</t>
  </si>
  <si>
    <t>CONCAT Full Name</t>
  </si>
  <si>
    <t>TEXTJOIN: Full Label</t>
  </si>
  <si>
    <t>TEXT: Join Date Label</t>
  </si>
  <si>
    <t>TEXT: Revenue Formatted</t>
  </si>
  <si>
    <t>&amp; Operator: ID+Name</t>
  </si>
  <si>
    <t>'=CONCAT(A2," ",B2)</t>
  </si>
  <si>
    <t>Joins first and last name with a space (modern CONCATENATE)</t>
  </si>
  <si>
    <t>'=A2&amp;" "&amp;B2</t>
  </si>
  <si>
    <t>Ampersand operator -- simplest way to join text</t>
  </si>
  <si>
    <t>'=TEXTJOIN(", ",TRUE,A2:D2)</t>
  </si>
  <si>
    <t>Join range with comma separator; TRUE skips blanks</t>
  </si>
  <si>
    <t>'=TEXTJOIN(" | ",TRUE,ID,Name,City)</t>
  </si>
  <si>
    <t>Build composite label -- great for dashboards</t>
  </si>
  <si>
    <t>'=TEXT(date,"DD-MMM-YYYY")</t>
  </si>
  <si>
    <t>Converts date serial to text: 15-Mar-2024</t>
  </si>
  <si>
    <t>'=TEXT(number,"#,##0")</t>
  </si>
  <si>
    <t>Formats number with commas: 125000 -&gt; 1,25,000</t>
  </si>
  <si>
    <t>'=TEXT(number,"0.0%")</t>
  </si>
  <si>
    <t>Formats decimal as percentage: 0.153 -&gt; 15.3%</t>
  </si>
  <si>
    <t>'=CONCAT("As of ",TEXT(TODAY(),"MMM YYYY"))</t>
  </si>
  <si>
    <t>Dynamic header: As of Mar 2026</t>
  </si>
  <si>
    <t>TODAY  |  NOW  |  DATE  |  TIME  --  Date and Time Foundations</t>
  </si>
  <si>
    <t>TODAY() returns today's date (updates each recalculation).  NOW() returns current date+time.  DATE(year,month,day) builds a date from parts.  TIME(hour,min,sec) builds a time.  Dates in Excel are serial numbers -- format them to display as dates.</t>
  </si>
  <si>
    <t>Days Since Join</t>
  </si>
  <si>
    <t>TODAY Formula</t>
  </si>
  <si>
    <t>NOW Formula</t>
  </si>
  <si>
    <t>DATE Construct</t>
  </si>
  <si>
    <t>Days to Renewal</t>
  </si>
  <si>
    <t>Renewal Status</t>
  </si>
  <si>
    <t>'=TODAY()</t>
  </si>
  <si>
    <t>Returns today's date -- recalculates on every open</t>
  </si>
  <si>
    <t>'=NOW()</t>
  </si>
  <si>
    <t>Returns today's date and current time</t>
  </si>
  <si>
    <t>'=TODAY()-join_date</t>
  </si>
  <si>
    <t>Days since customer joined -- elapsed days</t>
  </si>
  <si>
    <t>'=DATE(2024,3,15)</t>
  </si>
  <si>
    <t>Build a date from year, month, day numbers</t>
  </si>
  <si>
    <t>'=DATE(YEAR(d),MONTH(d)+3,DAY(d))</t>
  </si>
  <si>
    <t>Add 3 months to a date (safer than +90 days)</t>
  </si>
  <si>
    <t>'=TIME(14,30,0)</t>
  </si>
  <si>
    <t>Build a time value: 2:30:00 PM</t>
  </si>
  <si>
    <t>'=IF(renewal&lt;TODAY(),"Expired","Active")</t>
  </si>
  <si>
    <t>Check if a renewal date has passed</t>
  </si>
  <si>
    <t>'=EOMONTH(TODAY(),0)</t>
  </si>
  <si>
    <t>Last day of current month -- useful for period-end reports</t>
  </si>
  <si>
    <t>YEAR  |  MONTH  |  DAY  |  WEEKDAY  |  WEEKNUM  --  Extract Date Parts</t>
  </si>
  <si>
    <t>YEAR/MONTH/DAY extract individual parts from a date.  WEEKDAY returns day of week as a number (1=Sun by default; use type=2 for 1=Mon).  WEEKNUM returns which week of the year the date falls in.  These are essential for grouping, filtering and building period labels.</t>
  </si>
  <si>
    <t>YEAR</t>
  </si>
  <si>
    <t>MONTH</t>
  </si>
  <si>
    <t>DAY</t>
  </si>
  <si>
    <t>WEEKDAY (type 2)</t>
  </si>
  <si>
    <t>WEEKNUM</t>
  </si>
  <si>
    <t>Quarter</t>
  </si>
  <si>
    <t>'=YEAR(join_date)</t>
  </si>
  <si>
    <t>Returns 2022 -- extract year for annual grouping</t>
  </si>
  <si>
    <t>'=MONTH(join_date)</t>
  </si>
  <si>
    <t>Returns 1-12 -- extract month number</t>
  </si>
  <si>
    <t>'=DAY(join_date)</t>
  </si>
  <si>
    <t>Returns 1-31 -- extract day number</t>
  </si>
  <si>
    <t>'=WEEKDAY(date,2)</t>
  </si>
  <si>
    <t>Returns 1=Mon...7=Sun (type 2 is ISO standard)</t>
  </si>
  <si>
    <t>'=WEEKNUM(date,2)</t>
  </si>
  <si>
    <t>ISO week number (type 2) -- week starts Monday</t>
  </si>
  <si>
    <t>'=CONCAT("Q",INT((MONTH(d)-1)/3)+1)</t>
  </si>
  <si>
    <t>Build quarter label: Q1, Q2, Q3, Q4</t>
  </si>
  <si>
    <t>'=CONCAT("Q",INT((MONTH(d)-1)/3)+1,"-",YEAR(d))</t>
  </si>
  <si>
    <t>Full quarter+year label: Q2-2024</t>
  </si>
  <si>
    <t>'=TEXT(date,"MMM-YYYY")</t>
  </si>
  <si>
    <t>Month-Year label: Mar-2024 -- for axis labels</t>
  </si>
  <si>
    <t>DATEDIF  |  DAYS  |  NETWORKDAYS  |  WORKDAY  |  EDATE  --  Date Arithmetic</t>
  </si>
  <si>
    <t>DATEDIF calculates difference in days, months or years between two dates.  DAYS returns simple day difference.  NETWORKDAYS counts working days (excludes weekends).  WORKDAY adds N working days to a date.  EDATE adds N months to a date.  These are the core functions for SLA tracking, tenure calculation and project scheduling.</t>
  </si>
  <si>
    <t>DATEDIF: Days</t>
  </si>
  <si>
    <t>DATEDIF: Months</t>
  </si>
  <si>
    <t>DATEDIF: Years</t>
  </si>
  <si>
    <t>NETWORKDAYS</t>
  </si>
  <si>
    <t>'=DATEDIF(start,end,"D")</t>
  </si>
  <si>
    <t>"D" = total days between dates</t>
  </si>
  <si>
    <t>'=DATEDIF(start,end,"M")</t>
  </si>
  <si>
    <t>"M" = complete months between dates</t>
  </si>
  <si>
    <t>'=DATEDIF(start,end,"Y")</t>
  </si>
  <si>
    <t>"Y" = complete years -- use for tenure/age calculation</t>
  </si>
  <si>
    <t>'=DATEDIF(start,end,"YM")</t>
  </si>
  <si>
    <t>"YM" = months after subtracting full years -- e.g. 2 years 3 months</t>
  </si>
  <si>
    <t>'=DAYS(end_date,start_date)</t>
  </si>
  <si>
    <t>Simple day count -- end minus start (argument order reversed vs DATEDIF)</t>
  </si>
  <si>
    <t>'=NETWORKDAYS(start,end)</t>
  </si>
  <si>
    <t>Count working days only (Mon-Fri); excludes weekends</t>
  </si>
  <si>
    <t>'=WORKDAY(start_date,30)</t>
  </si>
  <si>
    <t>Date that is 30 working days from start (for SLA deadlines)</t>
  </si>
  <si>
    <t>'=EDATE(date,3)</t>
  </si>
  <si>
    <t>Date exactly 3 months later -- handles month-end correctly</t>
  </si>
  <si>
    <t>HOUR  |  MINUTE  |  SECOND  |  TIMEVALUE  --  Extract and Parse Time</t>
  </si>
  <si>
    <t>HOUR/MINUTE/SECOND extract time components from a time or datetime value.  TIMEVALUE converts a time stored as text (e.g. "14:30:00") into an Excel time serial.  Use these for session analysis, login tracking, and response time calculations.</t>
  </si>
  <si>
    <t>Last Login (text)</t>
  </si>
  <si>
    <t>HOUR</t>
  </si>
  <si>
    <t>MINUTE</t>
  </si>
  <si>
    <t>SECOND</t>
  </si>
  <si>
    <t>TIMEVALUE</t>
  </si>
  <si>
    <t>Session Period</t>
  </si>
  <si>
    <t>Business Hours?</t>
  </si>
  <si>
    <t>'=HOUR(time_value)</t>
  </si>
  <si>
    <t>Returns 0-23 -- extract hour from a time/datetime</t>
  </si>
  <si>
    <t>'=MINUTE(time_value)</t>
  </si>
  <si>
    <t>Returns 0-59 -- extract minutes</t>
  </si>
  <si>
    <t>'=SECOND(time_value)</t>
  </si>
  <si>
    <t>Returns 0-59 -- extract seconds</t>
  </si>
  <si>
    <t>'=TIMEVALUE("14:30:00")</t>
  </si>
  <si>
    <t>Converts text time to Excel serial (0.604...) for calculations</t>
  </si>
  <si>
    <t>'=TIMEVALUE(MID(datetime_text,12,8))</t>
  </si>
  <si>
    <t>Extract time from datetime string like 2024-03-15 14:30:00</t>
  </si>
  <si>
    <t>'=IF(HOUR(t)&gt;=9,IF(HOUR(t)&lt;18,"Biz hrs","After hours"),"Before hours")</t>
  </si>
  <si>
    <t>Business hours classification</t>
  </si>
  <si>
    <t>'=NOW()-login_datetime</t>
  </si>
  <si>
    <t>Time elapsed since last login (as fraction of a day)</t>
  </si>
  <si>
    <t>'=(NOW()-login_datetime)*24</t>
  </si>
  <si>
    <t>Hours elapsed since last login</t>
  </si>
  <si>
    <t>Practice Exercises  --  Type your formula in the yellow cells</t>
  </si>
  <si>
    <t>All formulas reference the 'CRM Dataset' sheet.  Key columns:  A=Cust ID  B=Raw Name  C=Email  D=Phone  E=City  F=Region  G=Segment  H=Plan  K=Join Date  L=Last Order  M=Renewal Date  N=Revenue  O=Last Login  (rows 3-27)</t>
  </si>
  <si>
    <t xml:space="preserve">  LEFT, RIGHT, MID, LEN</t>
  </si>
  <si>
    <t>Q1</t>
  </si>
  <si>
    <t>Extract the first 3 characters from the Cust ID of row 3 (should return CRM)</t>
  </si>
  <si>
    <t>Type your formula here</t>
  </si>
  <si>
    <t>Easy</t>
  </si>
  <si>
    <t>Q2</t>
  </si>
  <si>
    <t>Find the length of the raw email in row 3 (includes spaces)</t>
  </si>
  <si>
    <t>Q3</t>
  </si>
  <si>
    <t>Extract the username part of the email in row 3 (everything before @)</t>
  </si>
  <si>
    <t>Medium</t>
  </si>
  <si>
    <t>Q4</t>
  </si>
  <si>
    <t>Extract the domain part of the email in row 3 (everything after @)</t>
  </si>
  <si>
    <t xml:space="preserve">  UPPER, LOWER, PROPER, TRIM, CLEAN</t>
  </si>
  <si>
    <t>Q5</t>
  </si>
  <si>
    <t>Standardise the raw name in row 3 to Proper Case with no extra spaces</t>
  </si>
  <si>
    <t>Q6</t>
  </si>
  <si>
    <t>Clean and standardise the email in row 3 to lowercase with no extra spaces</t>
  </si>
  <si>
    <t>Q7</t>
  </si>
  <si>
    <t>Check if the raw name in row 3 has extra spaces (return TRUE if it does)</t>
  </si>
  <si>
    <t xml:space="preserve">  FIND, SEARCH, SUBSTITUTE, REPLACE</t>
  </si>
  <si>
    <t>Q8</t>
  </si>
  <si>
    <t>Find the position of @ in the email of row 3</t>
  </si>
  <si>
    <t>Q9</t>
  </si>
  <si>
    <t>Standardise the phone number in row 3: remove +91, hyphens, spaces and brackets</t>
  </si>
  <si>
    <t>Q10</t>
  </si>
  <si>
    <t>Check if the email in row 3 contains 'gmail' (return Yes or No)</t>
  </si>
  <si>
    <t xml:space="preserve">  CONCAT, TEXTJOIN, TEXT</t>
  </si>
  <si>
    <t>Q11</t>
  </si>
  <si>
    <t>Build a label for row 3 using &amp; operator: Cust ID + " -- " + Proper Name</t>
  </si>
  <si>
    <t>Q12</t>
  </si>
  <si>
    <t>Format the Revenue of row 3 as text with commas (e.g. 1,25,000)</t>
  </si>
  <si>
    <t>Q13</t>
  </si>
  <si>
    <t>Build a full profile label using TEXTJOIN with " | " separator: ID, Name, City, Plan for row 3</t>
  </si>
  <si>
    <t>Q14</t>
  </si>
  <si>
    <t>Create a sentence: 'Joined on: ' + Join Date formatted as DD-MMM-YYYY for row 3</t>
  </si>
  <si>
    <t xml:space="preserve">  TODAY, NOW, DATE, TIME</t>
  </si>
  <si>
    <t>Q15</t>
  </si>
  <si>
    <t>Calculate how many days have passed since the Join Date of row 3</t>
  </si>
  <si>
    <t>Q16</t>
  </si>
  <si>
    <t>Calculate days remaining until the Renewal Date of row 3 (could be negative if expired)</t>
  </si>
  <si>
    <t>Q17</t>
  </si>
  <si>
    <t>Build a date using DATE function for 15th March 2025</t>
  </si>
  <si>
    <t xml:space="preserve">  YEAR, MONTH, DAY, WEEKDAY, WEEKNUM</t>
  </si>
  <si>
    <t>Q18</t>
  </si>
  <si>
    <t>Extract the year from the Join Date of row 3</t>
  </si>
  <si>
    <t>Q19</t>
  </si>
  <si>
    <t>Build a Quarter-Year label for the Join Date of row 3 (e.g. Q2-2022)</t>
  </si>
  <si>
    <t>Q20</t>
  </si>
  <si>
    <t>Find what day of the week the Join Date of row 3 falls on (1=Mon using type 2)</t>
  </si>
  <si>
    <t xml:space="preserve">  DATEDIF, DAYS, NETWORKDAYS, WORKDAY, EDATE</t>
  </si>
  <si>
    <t>Q21</t>
  </si>
  <si>
    <t>Calculate the total number of months between Join Date and Last Order date for row 3</t>
  </si>
  <si>
    <t>Q22</t>
  </si>
  <si>
    <t>Count the working days (Mon-Fri) between Join Date and Last Order for row 3</t>
  </si>
  <si>
    <t>Q23</t>
  </si>
  <si>
    <t>Calculate the renewal date that is 12 months after the Join Date of row 3 using EDATE</t>
  </si>
  <si>
    <t xml:space="preserve">  HOUR, MINUTE, SECOND, TIMEVALUE</t>
  </si>
  <si>
    <t>Q24</t>
  </si>
  <si>
    <t>Extract the hour from the Last Login datetime text of row 3</t>
  </si>
  <si>
    <t>Q25</t>
  </si>
  <si>
    <t>Classify the login time of row 3 as Morning (before 12), Afternoon (12-17) or Evening (after 17)</t>
  </si>
  <si>
    <t>Hard</t>
  </si>
  <si>
    <t>Text and Date Functions  --  Quick Reference Card</t>
  </si>
  <si>
    <t>Blue = Text Extraction.  Green = Text Cleaning.  Orange = Search and Replace.  Purple = Combine and Format.  Teal = Date Foundations.  Indigo = Date Parts.  Brown = Date Arithmetic.  Maroon = Time Functions.</t>
  </si>
  <si>
    <t>Function</t>
  </si>
  <si>
    <t>Syntax</t>
  </si>
  <si>
    <t>Purpose</t>
  </si>
  <si>
    <t>Category</t>
  </si>
  <si>
    <t>Best Used For</t>
  </si>
  <si>
    <t>Key Tip</t>
  </si>
  <si>
    <t>LEFT</t>
  </si>
  <si>
    <t>'=LEFT(text, num_chars)</t>
  </si>
  <si>
    <t>Extract chars from start of string</t>
  </si>
  <si>
    <t>Text</t>
  </si>
  <si>
    <t>Parse codes, prefixes, fixed-width fields</t>
  </si>
  <si>
    <t>Use with LEN/FIND for dynamic extraction</t>
  </si>
  <si>
    <t>RIGHT</t>
  </si>
  <si>
    <t>'=RIGHT(text, num_chars)</t>
  </si>
  <si>
    <t>Extract chars from end of string</t>
  </si>
  <si>
    <t>File extensions, suffixes, last N chars</t>
  </si>
  <si>
    <t>RIGHT(text,LEN(text)-FIND(chr,text)) = after char</t>
  </si>
  <si>
    <t>MID</t>
  </si>
  <si>
    <t>'=MID(text, start_num, num_chars)</t>
  </si>
  <si>
    <t>Extract from any position</t>
  </si>
  <si>
    <t>Email domains, substrings, serial numbers</t>
  </si>
  <si>
    <t>Combine with FIND to make start_num dynamic</t>
  </si>
  <si>
    <t>'=LEN(text)</t>
  </si>
  <si>
    <t>Return character count</t>
  </si>
  <si>
    <t>Validate field length, detect extra spaces</t>
  </si>
  <si>
    <t>LEN(A1)&lt;&gt;LEN(TRIM(A1)) detects extra spaces</t>
  </si>
  <si>
    <t>'=UPPER(text)</t>
  </si>
  <si>
    <t>Convert to ALL CAPS</t>
  </si>
  <si>
    <t>Key matching, heading display</t>
  </si>
  <si>
    <t>Use before VLOOKUP to make lookups case-insensitive</t>
  </si>
  <si>
    <t>'=LOWER(text)</t>
  </si>
  <si>
    <t>Convert to all lowercase</t>
  </si>
  <si>
    <t>Email normalisation, comparison</t>
  </si>
  <si>
    <t>Always LOWER+TRIM emails before any lookup</t>
  </si>
  <si>
    <t>'=PROPER(text)</t>
  </si>
  <si>
    <t>Capitalise Each Word</t>
  </si>
  <si>
    <t>Standardising customer names</t>
  </si>
  <si>
    <t>Combine with TRIM: =PROPER(TRIM(name))</t>
  </si>
  <si>
    <t>TRIM</t>
  </si>
  <si>
    <t>'=TRIM(text)</t>
  </si>
  <si>
    <t>Remove extra spaces (keeps single spaces)</t>
  </si>
  <si>
    <t>Clean imported data, CRM name fields</t>
  </si>
  <si>
    <t>TRIM removes internal doubles too, not just edges</t>
  </si>
  <si>
    <t>CLEAN</t>
  </si>
  <si>
    <t>'=CLEAN(text)</t>
  </si>
  <si>
    <t>Remove non-printable characters</t>
  </si>
  <si>
    <t>Data imported from external systems or PDFs</t>
  </si>
  <si>
    <t>Use with TRIM: =LOWER(TRIM(CLEAN(text)))</t>
  </si>
  <si>
    <t>FIND</t>
  </si>
  <si>
    <t>'=FIND(find_text, within_text, [start])</t>
  </si>
  <si>
    <t>Position of text (case-sensitive)</t>
  </si>
  <si>
    <t>Locating @ in emails, / in paths</t>
  </si>
  <si>
    <t>Returns error if not found -- wrap with IFERROR</t>
  </si>
  <si>
    <t>SEARCH</t>
  </si>
  <si>
    <t>'=SEARCH(find_text, within_text, [start])</t>
  </si>
  <si>
    <t>Position of text (case-insensitive)</t>
  </si>
  <si>
    <t>Contains checks, wildcard matching</t>
  </si>
  <si>
    <t>Use * and ? wildcards; FIND does not support them</t>
  </si>
  <si>
    <t>SUBSTITUTE</t>
  </si>
  <si>
    <t>'=SUBSTITUTE(text, old, new, [instance])</t>
  </si>
  <si>
    <t>Replace text occurrences</t>
  </si>
  <si>
    <t>Clean phone numbers, swap delimiters</t>
  </si>
  <si>
    <t>4th arg = which occurrence; omit to replace all</t>
  </si>
  <si>
    <t>REPLACE</t>
  </si>
  <si>
    <t>'=REPLACE(text, start, num_chars, new)</t>
  </si>
  <si>
    <t>Replace text at a specific position</t>
  </si>
  <si>
    <t>Mask data, reformat fixed-width codes</t>
  </si>
  <si>
    <t>Use when position is known; SUBSTITUTE when text known</t>
  </si>
  <si>
    <t>CONCAT</t>
  </si>
  <si>
    <t>'=concat(text1, text2, ...)</t>
  </si>
  <si>
    <t>Join text strings (no separator)</t>
  </si>
  <si>
    <t>Build IDs, labels, composite keys</t>
  </si>
  <si>
    <t>Replaced CONCATENATE -- supports ranges</t>
  </si>
  <si>
    <t>TEXTJOIN</t>
  </si>
  <si>
    <t>'=textjoin(delim, skip_blanks, range)</t>
  </si>
  <si>
    <t>Join range with delimiter</t>
  </si>
  <si>
    <t>CSV lists, display labels, audit trails</t>
  </si>
  <si>
    <t>Set skip_blanks=TRUE to ignore empty cells</t>
  </si>
  <si>
    <t>TEXT</t>
  </si>
  <si>
    <t>'=TEXT(value, format_code)</t>
  </si>
  <si>
    <t>Convert number/date to formatted text</t>
  </si>
  <si>
    <t>Dynamic labels, dashboard titles, reports</t>
  </si>
  <si>
    <t>TEXT(TODAY(),"DD-MMM-YYYY") for date in text</t>
  </si>
  <si>
    <t>&amp; operator</t>
  </si>
  <si>
    <t>'=A1&amp;" "&amp;B1</t>
  </si>
  <si>
    <t>Simplest text join (ampersand)</t>
  </si>
  <si>
    <t>Quick one-off joins without a function</t>
  </si>
  <si>
    <t>Equivalent to CONCAT but faster to type</t>
  </si>
  <si>
    <t>TODAY</t>
  </si>
  <si>
    <t>Return today's date</t>
  </si>
  <si>
    <t>Date</t>
  </si>
  <si>
    <t>Elapsed days, expiry checks, age calc</t>
  </si>
  <si>
    <t>Recalculates on every open -- use carefully in reports</t>
  </si>
  <si>
    <t>NOW</t>
  </si>
  <si>
    <t>Return current date and time</t>
  </si>
  <si>
    <t>Timestamps, datetime calculations</t>
  </si>
  <si>
    <t>NOW()-date gives days+time fraction since date</t>
  </si>
  <si>
    <t>DATE</t>
  </si>
  <si>
    <t>'=DATE(year, month, day)</t>
  </si>
  <si>
    <t>Build a date from numeric parts</t>
  </si>
  <si>
    <t>Reconstruct dates, end of month formulas</t>
  </si>
  <si>
    <t>DATE(y,m+3,d) safely adds 3 months</t>
  </si>
  <si>
    <t>TIME</t>
  </si>
  <si>
    <t>'=TIME(hour, minute, second)</t>
  </si>
  <si>
    <t>Build a time value from parts</t>
  </si>
  <si>
    <t>Build timestamps, shift boundaries</t>
  </si>
  <si>
    <t>TIME(9,0,0) = 9:00 AM as Excel serial</t>
  </si>
  <si>
    <t>'=YEAR(date)</t>
  </si>
  <si>
    <t>Extract year from date</t>
  </si>
  <si>
    <t>Annual grouping, cohort analysis</t>
  </si>
  <si>
    <t>Combine with TEXT: TEXT(d,"YYYY") for labels</t>
  </si>
  <si>
    <t>'=MONTH(date)</t>
  </si>
  <si>
    <t>Extract month number (1-12)</t>
  </si>
  <si>
    <t>Monthly trends, seasonality analysis</t>
  </si>
  <si>
    <t>INT((MONTH(d)-1)/3)+1 gives quarter number</t>
  </si>
  <si>
    <t>'=DAY(date)</t>
  </si>
  <si>
    <t>Extract day number (1-31)</t>
  </si>
  <si>
    <t>Day-of-month analysis, payroll</t>
  </si>
  <si>
    <t>Combine YEAR+MONTH+DAY with DATE to rebuild date</t>
  </si>
  <si>
    <t>WEEKDAY</t>
  </si>
  <si>
    <t>'=WEEKDAY(date, [return_type])</t>
  </si>
  <si>
    <t>Day of week as number</t>
  </si>
  <si>
    <t>Weekend flag, scheduling, SLA routing</t>
  </si>
  <si>
    <t>Use type=2 for 1=Mon (ISO); type=1 for 1=Sun</t>
  </si>
  <si>
    <t>'=WEEKNUM(date, [return_type])</t>
  </si>
  <si>
    <t>Week number of the year</t>
  </si>
  <si>
    <t>Weekly reporting, sprint tracking</t>
  </si>
  <si>
    <t>Type=2 for ISO weeks starting Monday</t>
  </si>
  <si>
    <t>DATEDIF</t>
  </si>
  <si>
    <t>'=DATEDIF(start, end, unit)</t>
  </si>
  <si>
    <t>Difference in D, M, Y, YM, MD, YD</t>
  </si>
  <si>
    <t>Tenure, age, contract duration</t>
  </si>
  <si>
    <t>Not in function wizard -- type manually; start &lt; end</t>
  </si>
  <si>
    <t>DAYS</t>
  </si>
  <si>
    <t>'=days(end_date, start_date)</t>
  </si>
  <si>
    <t>Simple day count between dates</t>
  </si>
  <si>
    <t>Quick elapsed day calculation</t>
  </si>
  <si>
    <t>Argument order is end,start (opposite of subtraction)</t>
  </si>
  <si>
    <t>'=NETWORKDAYS(start, end, [holidays])</t>
  </si>
  <si>
    <t>Count working days (Mon-Fri)</t>
  </si>
  <si>
    <t>SLA tracking, project timelines</t>
  </si>
  <si>
    <t>Add holiday range as 3rd arg to exclude public holidays</t>
  </si>
  <si>
    <t>WORKDAY</t>
  </si>
  <si>
    <t>'=WORKDAY(start_date, days, [holidays])</t>
  </si>
  <si>
    <t>Date N working days from start</t>
  </si>
  <si>
    <t>Deadline calculation, due dates</t>
  </si>
  <si>
    <t>WORKDAY.INTL lets you define custom weekends</t>
  </si>
  <si>
    <t>EDATE</t>
  </si>
  <si>
    <t>'=EDATE(start_date, months)</t>
  </si>
  <si>
    <t>Date N months from start</t>
  </si>
  <si>
    <t>Renewal dates, subscription expiry</t>
  </si>
  <si>
    <t>EDATE(date,12) = exactly 1 year later; handles Feb</t>
  </si>
  <si>
    <t>Extract hour (0-23)</t>
  </si>
  <si>
    <t>Session analysis, peak hour tracking</t>
  </si>
  <si>
    <t>Works on datetime values too -- extracts time part</t>
  </si>
  <si>
    <t>Extract minute (0-59)</t>
  </si>
  <si>
    <t>Response time breakdown</t>
  </si>
  <si>
    <t>Combine with HOUR for total minutes: HOUR*60+MINUTE</t>
  </si>
  <si>
    <t>Extract second (0-59)</t>
  </si>
  <si>
    <t>Precise timestamp parsing</t>
  </si>
  <si>
    <t>Rarely needed alone; use with TIMEVALUE for text times</t>
  </si>
  <si>
    <t>'=TIMEVALUE(time_text)</t>
  </si>
  <si>
    <t>Convert time text to Excel serial</t>
  </si>
  <si>
    <t>Parse datetime strings from databases/exports</t>
  </si>
  <si>
    <t>'=TIMEVALUE(MID(datetime,12,8)) extracts time from text</t>
  </si>
  <si>
    <r>
      <t>Q1.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first 5 characters</t>
    </r>
    <r>
      <rPr>
        <sz val="11"/>
        <color theme="1"/>
        <rFont val="Calibri"/>
        <family val="2"/>
        <charset val="1"/>
      </rPr>
      <t xml:space="preserve"> from the email ID after removing extra spaces.</t>
    </r>
  </si>
  <si>
    <r>
      <t>Q2.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last 8 characters</t>
    </r>
    <r>
      <rPr>
        <sz val="11"/>
        <color theme="1"/>
        <rFont val="Calibri"/>
        <family val="2"/>
        <charset val="1"/>
      </rPr>
      <t xml:space="preserve"> from the email ID after removing leading or trailing spaces.</t>
    </r>
  </si>
  <si>
    <r>
      <t>Q3.</t>
    </r>
    <r>
      <rPr>
        <sz val="11"/>
        <color theme="1"/>
        <rFont val="Calibri"/>
        <family val="2"/>
        <charset val="1"/>
      </rPr>
      <t xml:space="preserve"> Calculate the </t>
    </r>
    <r>
      <rPr>
        <b/>
        <sz val="11"/>
        <color theme="1"/>
        <rFont val="Calibri"/>
        <family val="2"/>
        <charset val="1"/>
      </rPr>
      <t>total number of characters</t>
    </r>
    <r>
      <rPr>
        <sz val="11"/>
        <color theme="1"/>
        <rFont val="Calibri"/>
        <family val="2"/>
        <charset val="1"/>
      </rPr>
      <t xml:space="preserve"> present in the email address.</t>
    </r>
  </si>
  <si>
    <r>
      <t>Q4.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username (text before @)</t>
    </r>
    <r>
      <rPr>
        <sz val="11"/>
        <color theme="1"/>
        <rFont val="Calibri"/>
        <family val="2"/>
        <charset val="1"/>
      </rPr>
      <t xml:space="preserve"> from the email ID.</t>
    </r>
  </si>
  <si>
    <r>
      <t>Q5.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domain name (text after @)</t>
    </r>
    <r>
      <rPr>
        <sz val="11"/>
        <color theme="1"/>
        <rFont val="Calibri"/>
        <family val="2"/>
        <charset val="1"/>
      </rPr>
      <t xml:space="preserve"> from the email ID using appropriate text functions.</t>
    </r>
  </si>
  <si>
    <r>
      <rPr>
        <sz val="11"/>
        <color theme="1"/>
        <rFont val="Calibri"/>
        <family val="2"/>
        <charset val="1"/>
      </rPr>
      <t xml:space="preserve">Convert the customer name into </t>
    </r>
    <r>
      <rPr>
        <b/>
        <sz val="11"/>
        <color theme="1"/>
        <rFont val="Calibri"/>
        <family val="2"/>
        <charset val="1"/>
      </rPr>
      <t>uppercase letters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</si>
  <si>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Convert the customer name into </t>
    </r>
    <r>
      <rPr>
        <b/>
        <sz val="11"/>
        <color theme="1"/>
        <rFont val="Calibri"/>
        <family val="2"/>
        <charset val="1"/>
      </rPr>
      <t>lowercase letters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</si>
  <si>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Convert the customer name into </t>
    </r>
    <r>
      <rPr>
        <b/>
        <sz val="11"/>
        <color theme="1"/>
        <rFont val="Calibri"/>
        <family val="2"/>
        <charset val="1"/>
      </rPr>
      <t>proper case</t>
    </r>
    <r>
      <rPr>
        <sz val="11"/>
        <color theme="1"/>
        <rFont val="Calibri"/>
        <family val="2"/>
        <charset val="1"/>
      </rPr>
      <t xml:space="preserve"> (first letter capitalized for each word).</t>
    </r>
  </si>
  <si>
    <r>
      <rPr>
        <sz val="11"/>
        <color theme="1"/>
        <rFont val="Calibri"/>
        <family val="2"/>
        <charset val="1"/>
      </rPr>
      <t xml:space="preserve">Remove </t>
    </r>
    <r>
      <rPr>
        <b/>
        <sz val="11"/>
        <color theme="1"/>
        <rFont val="Calibri"/>
        <family val="2"/>
        <charset val="1"/>
      </rPr>
      <t>extra spaces</t>
    </r>
    <r>
      <rPr>
        <sz val="11"/>
        <color theme="1"/>
        <rFont val="Calibri"/>
        <family val="2"/>
        <charset val="1"/>
      </rPr>
      <t xml:space="preserve"> from the customer name.</t>
    </r>
  </si>
  <si>
    <r>
      <rPr>
        <sz val="11"/>
        <color theme="1"/>
        <rFont val="Calibri"/>
        <family val="2"/>
        <charset val="1"/>
      </rPr>
      <t xml:space="preserve">Apply </t>
    </r>
    <r>
      <rPr>
        <b/>
        <sz val="11"/>
        <color theme="1"/>
        <rFont val="Calibri"/>
        <family val="2"/>
        <charset val="1"/>
      </rPr>
      <t>TRIM and PROPER together</t>
    </r>
    <r>
      <rPr>
        <sz val="11"/>
        <color theme="1"/>
        <rFont val="Calibri"/>
        <family val="2"/>
        <charset val="1"/>
      </rPr>
      <t xml:space="preserve"> to standardize the name format.</t>
    </r>
  </si>
  <si>
    <r>
      <t xml:space="preserve">If the symbol is not found, return </t>
    </r>
    <r>
      <rPr>
        <b/>
        <sz val="11"/>
        <color theme="1"/>
        <rFont val="Calibri"/>
        <family val="2"/>
        <charset val="1"/>
      </rPr>
      <t>"Not found"</t>
    </r>
    <r>
      <rPr>
        <sz val="11"/>
        <color theme="1"/>
        <rFont val="Calibri"/>
        <family val="2"/>
        <charset val="1"/>
      </rPr>
      <t>.</t>
    </r>
  </si>
  <si>
    <r>
      <t xml:space="preserve">If not found, return </t>
    </r>
    <r>
      <rPr>
        <b/>
        <sz val="11"/>
        <color theme="1"/>
        <rFont val="Calibri"/>
        <family val="2"/>
        <charset val="1"/>
      </rPr>
      <t>"Not found"</t>
    </r>
    <r>
      <rPr>
        <sz val="11"/>
        <color theme="1"/>
        <rFont val="Calibri"/>
        <family val="2"/>
        <charset val="1"/>
      </rPr>
      <t>.</t>
    </r>
  </si>
  <si>
    <r>
      <t xml:space="preserve">Return </t>
    </r>
    <r>
      <rPr>
        <b/>
        <sz val="11"/>
        <color theme="1"/>
        <rFont val="Calibri"/>
        <family val="2"/>
        <charset val="1"/>
      </rPr>
      <t>"Yes"</t>
    </r>
    <r>
      <rPr>
        <sz val="11"/>
        <color theme="1"/>
        <rFont val="Calibri"/>
        <family val="2"/>
        <charset val="1"/>
      </rPr>
      <t xml:space="preserve"> if it contains “gmail”, otherwise </t>
    </r>
    <r>
      <rPr>
        <b/>
        <sz val="11"/>
        <color theme="1"/>
        <rFont val="Calibri"/>
        <family val="2"/>
        <charset val="1"/>
      </rPr>
      <t>"No"</t>
    </r>
    <r>
      <rPr>
        <sz val="11"/>
        <color theme="1"/>
        <rFont val="Calibri"/>
        <family val="2"/>
        <charset val="1"/>
      </rPr>
      <t>.</t>
    </r>
  </si>
  <si>
    <t>Example:</t>
  </si>
  <si>
    <t>john@gmail.com → ***@gmail.com</t>
  </si>
  <si>
    <r>
      <rPr>
        <sz val="11"/>
        <color theme="1"/>
        <rFont val="Calibri"/>
        <family val="2"/>
        <charset val="1"/>
      </rPr>
      <t xml:space="preserve">Find the </t>
    </r>
    <r>
      <rPr>
        <b/>
        <sz val="11"/>
        <color theme="1"/>
        <rFont val="Calibri"/>
        <family val="2"/>
        <charset val="1"/>
      </rPr>
      <t>position of the “@” symbol</t>
    </r>
    <r>
      <rPr>
        <sz val="11"/>
        <color theme="1"/>
        <rFont val="Calibri"/>
        <family val="2"/>
        <charset val="1"/>
      </rPr>
      <t xml:space="preserve"> in the email address.</t>
    </r>
  </si>
  <si>
    <r>
      <rPr>
        <sz val="11"/>
        <color theme="1"/>
        <rFont val="Calibri"/>
        <family val="2"/>
        <charset val="1"/>
      </rPr>
      <t xml:space="preserve">Check whether the email address contains </t>
    </r>
    <r>
      <rPr>
        <b/>
        <sz val="11"/>
        <color theme="1"/>
        <rFont val="Calibri"/>
        <family val="2"/>
        <charset val="1"/>
      </rPr>
      <t>".com"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</si>
  <si>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Check whether the email address belongs to </t>
    </r>
    <r>
      <rPr>
        <b/>
        <sz val="11"/>
        <color theme="1"/>
        <rFont val="Calibri"/>
        <family val="2"/>
        <charset val="1"/>
      </rPr>
      <t>Gmail</t>
    </r>
    <r>
      <rPr>
        <sz val="11"/>
        <color theme="1"/>
        <rFont val="Calibri"/>
        <family val="2"/>
        <charset val="1"/>
      </rPr>
      <t>.</t>
    </r>
  </si>
  <si>
    <t>Mask the email address by replacing the username with *** and keeping only the domain.</t>
  </si>
  <si>
    <t xml:space="preserve">  liam.moore.corp.in  </t>
  </si>
  <si>
    <t xml:space="preserve">  henry.davis#corp.in  </t>
  </si>
  <si>
    <t>Clean a phone number by removing characters such as:</t>
  </si>
  <si>
    <t>-</t>
  </si>
  <si>
    <t>(</t>
  </si>
  <si>
    <t>)</t>
  </si>
  <si>
    <t>spaces</t>
  </si>
  <si>
    <r>
      <t xml:space="preserve">so that only the </t>
    </r>
    <r>
      <rPr>
        <b/>
        <sz val="11"/>
        <color theme="1"/>
        <rFont val="Calibri"/>
        <family val="2"/>
        <charset val="1"/>
      </rPr>
      <t>10-digit number remains</t>
    </r>
    <r>
      <rPr>
        <sz val="11"/>
        <color theme="1"/>
        <rFont val="Calibri"/>
        <family val="2"/>
        <charset val="1"/>
      </rPr>
      <t>.</t>
    </r>
  </si>
  <si>
    <t>Alice</t>
  </si>
  <si>
    <t>Johnson</t>
  </si>
  <si>
    <t>CRM0001 | Alice Johnson | Hyderabad | Custom</t>
  </si>
  <si>
    <t>Joined: 12-Sep-2021</t>
  </si>
  <si>
    <t>Rev: 1,33,260</t>
  </si>
  <si>
    <t>CRM0001 -- Alice Johnson</t>
  </si>
  <si>
    <t>Bob</t>
  </si>
  <si>
    <t>Smith</t>
  </si>
  <si>
    <t>CRM0002 | Bob Smith | Ahmedabad | Enterprise</t>
  </si>
  <si>
    <t>Joined: 30-Nov-2022</t>
  </si>
  <si>
    <t>Rev: 1,43,599</t>
  </si>
  <si>
    <t>CRM0002 -- Bob Smith</t>
  </si>
  <si>
    <t>Carol</t>
  </si>
  <si>
    <t>White</t>
  </si>
  <si>
    <t>Carol White</t>
  </si>
  <si>
    <t>CRM0003 | Carol White | Jaipur | Trial</t>
  </si>
  <si>
    <t>Joined: 02-Jul-2022</t>
  </si>
  <si>
    <t>Rev: 38,853</t>
  </si>
  <si>
    <t>CRM0003 -- Carol White</t>
  </si>
  <si>
    <t>David</t>
  </si>
  <si>
    <t>Brown</t>
  </si>
  <si>
    <t>CRM0004 | David Brown | Mumbai | Pro</t>
  </si>
  <si>
    <t>Joined: 01-Jul-2021</t>
  </si>
  <si>
    <t>Rev: 1,14,844</t>
  </si>
  <si>
    <t>CRM0004 -- David Brown</t>
  </si>
  <si>
    <t>Eva</t>
  </si>
  <si>
    <t>Green</t>
  </si>
  <si>
    <t>Eva Green</t>
  </si>
  <si>
    <t>CRM0005 | Eva Green | Kolkata | Pro</t>
  </si>
  <si>
    <t>Joined: 04-Dec-2021</t>
  </si>
  <si>
    <t>Rev: 1,47,991</t>
  </si>
  <si>
    <t>CRM0005 -- Eva Green</t>
  </si>
  <si>
    <t>Q3-2021</t>
  </si>
  <si>
    <t>Q4-2022</t>
  </si>
  <si>
    <t>Q3-2022</t>
  </si>
  <si>
    <t>Afternoon</t>
  </si>
  <si>
    <t>Yes</t>
  </si>
  <si>
    <t>Evening</t>
  </si>
  <si>
    <t>No</t>
  </si>
  <si>
    <r>
      <t xml:space="preserve">Check whether the login time falls within </t>
    </r>
    <r>
      <rPr>
        <b/>
        <sz val="11"/>
        <color theme="1"/>
        <rFont val="Calibri"/>
        <family val="2"/>
        <charset val="1"/>
      </rPr>
      <t>working hours (9 AM to 6 PM)</t>
    </r>
  </si>
  <si>
    <t>EDATE +3M(join date)</t>
  </si>
  <si>
    <t>Expired</t>
  </si>
  <si>
    <r>
      <t xml:space="preserve">Create a </t>
    </r>
    <r>
      <rPr>
        <b/>
        <sz val="11"/>
        <color theme="1"/>
        <rFont val="Calibri"/>
        <family val="2"/>
        <charset val="1"/>
      </rPr>
      <t>status column</t>
    </r>
    <r>
      <rPr>
        <sz val="11"/>
        <color theme="1"/>
        <rFont val="Calibri"/>
        <family val="2"/>
        <charset val="1"/>
      </rPr>
      <t xml:space="preserve"> based on expiry date:</t>
    </r>
  </si>
  <si>
    <r>
      <t xml:space="preserve">If expiry date &lt; today → </t>
    </r>
    <r>
      <rPr>
        <b/>
        <sz val="11"/>
        <color theme="1"/>
        <rFont val="Calibri"/>
        <family val="2"/>
        <charset val="1"/>
      </rPr>
      <t>Expired</t>
    </r>
  </si>
  <si>
    <r>
      <t xml:space="preserve">If expiry date is within next </t>
    </r>
    <r>
      <rPr>
        <b/>
        <sz val="11"/>
        <color theme="1"/>
        <rFont val="Calibri"/>
        <family val="2"/>
        <charset val="1"/>
      </rPr>
      <t>30 days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Due Soon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</si>
  <si>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Active</t>
    </r>
  </si>
  <si>
    <r>
      <t xml:space="preserve">Calculate the </t>
    </r>
    <r>
      <rPr>
        <b/>
        <sz val="11"/>
        <color theme="1"/>
        <rFont val="Calibri"/>
        <family val="2"/>
        <charset val="1"/>
      </rPr>
      <t>number of days remaining until the contract end date</t>
    </r>
    <r>
      <rPr>
        <sz val="11"/>
        <color theme="1"/>
        <rFont val="Calibri"/>
        <family val="2"/>
        <charset val="1"/>
      </rPr>
      <t>.</t>
    </r>
  </si>
  <si>
    <t>henry</t>
  </si>
  <si>
    <t>@corp.in</t>
  </si>
  <si>
    <t>corp.in</t>
  </si>
  <si>
    <t>henry.davis</t>
  </si>
  <si>
    <t>isla.</t>
  </si>
  <si>
    <t>mail.com</t>
  </si>
  <si>
    <t>hotmail.com</t>
  </si>
  <si>
    <t>isla.martin</t>
  </si>
  <si>
    <t>jack.</t>
  </si>
  <si>
    <t>mpany.io</t>
  </si>
  <si>
    <t>company.io</t>
  </si>
  <si>
    <t>jack.wilson</t>
  </si>
  <si>
    <t>ALICE JOHNSON</t>
  </si>
  <si>
    <t>alice johnson</t>
  </si>
  <si>
    <t>BOB SMITH</t>
  </si>
  <si>
    <t>bob smith</t>
  </si>
  <si>
    <t xml:space="preserve">  carol white  </t>
  </si>
  <si>
    <t xml:space="preserve">  Carol White  </t>
  </si>
  <si>
    <t>CAROL WHITE</t>
  </si>
  <si>
    <t>DAVID BROWN</t>
  </si>
  <si>
    <t>david brown</t>
  </si>
  <si>
    <t>9743642838</t>
  </si>
  <si>
    <t>***@hotmail.com</t>
  </si>
  <si>
    <t>Not found</t>
  </si>
  <si>
    <t>9982965198</t>
  </si>
  <si>
    <t>***@biz.net</t>
  </si>
  <si>
    <t>9556561458</t>
  </si>
  <si>
    <t>***@gmail.com</t>
  </si>
  <si>
    <t>***@webmail.com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</si>
</sst>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/dd/yy"/>
    <numFmt numFmtId="166" formatCode="mm/dd/yy\ hh:mm\ AM/PM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1A5276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9"/>
      <color rgb="FF1F3864"/>
      <name val="Arial"/>
      <family val="2"/>
    </font>
    <font>
      <i/>
      <sz val="9"/>
      <color rgb="FF4A4A4A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7D6608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i/>
      <sz val="8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theme="1"/>
      <name val="Calibri"/>
      <family val="2"/>
      <charset val="1"/>
    </font>
    <font>
      <sz val="10"/>
      <color theme="1"/>
      <name val="Arial Unicode MS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D6E4F0"/>
        <bgColor rgb="FFD6EAF8"/>
      </patternFill>
    </fill>
    <fill>
      <patternFill patternType="solid">
        <fgColor rgb="FF2E75B6"/>
        <bgColor rgb="FF008080"/>
      </patternFill>
    </fill>
    <fill>
      <patternFill patternType="solid">
        <fgColor rgb="FFFFFFFF"/>
        <bgColor rgb="FFFAFAFA"/>
      </patternFill>
    </fill>
    <fill>
      <patternFill patternType="solid">
        <fgColor rgb="FFF2F3F4"/>
        <bgColor rgb="FFFAFAFA"/>
      </patternFill>
    </fill>
    <fill>
      <patternFill patternType="solid">
        <fgColor rgb="FFD6EAF8"/>
        <bgColor rgb="FFD6E4F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1F2EB"/>
      </patternFill>
    </fill>
    <fill>
      <patternFill patternType="solid">
        <fgColor rgb="FFA9DFBF"/>
        <bgColor rgb="FFA2D9CE"/>
      </patternFill>
    </fill>
    <fill>
      <patternFill patternType="solid">
        <fgColor rgb="FFB7560A"/>
        <bgColor rgb="FF7D6608"/>
      </patternFill>
    </fill>
    <fill>
      <patternFill patternType="solid">
        <fgColor rgb="FFFDEBD0"/>
        <bgColor rgb="FFFAE5D3"/>
      </patternFill>
    </fill>
    <fill>
      <patternFill patternType="solid">
        <fgColor rgb="FFFAD7A0"/>
        <bgColor rgb="FFF5CBA7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ADD"/>
      </patternFill>
    </fill>
    <fill>
      <patternFill patternType="solid">
        <fgColor rgb="FFD2B4DE"/>
        <bgColor rgb="FFD7BDE2"/>
      </patternFill>
    </fill>
    <fill>
      <patternFill patternType="solid">
        <fgColor rgb="FF0E6655"/>
        <bgColor rgb="FF1A5276"/>
      </patternFill>
    </fill>
    <fill>
      <patternFill patternType="solid">
        <fgColor rgb="FFD1F2EB"/>
        <bgColor rgb="FFD5F5E3"/>
      </patternFill>
    </fill>
    <fill>
      <patternFill patternType="solid">
        <fgColor rgb="FFA2D9CE"/>
        <bgColor rgb="FFA9DFBF"/>
      </patternFill>
    </fill>
    <fill>
      <patternFill patternType="solid">
        <fgColor rgb="FF283593"/>
        <bgColor rgb="FF1F3864"/>
      </patternFill>
    </fill>
    <fill>
      <patternFill patternType="solid">
        <fgColor rgb="FFE8EAF6"/>
        <bgColor rgb="FFF2F3F4"/>
      </patternFill>
    </fill>
    <fill>
      <patternFill patternType="solid">
        <fgColor rgb="FFC5CAE9"/>
        <bgColor rgb="FFC0D5E8"/>
      </patternFill>
    </fill>
    <fill>
      <patternFill patternType="solid">
        <fgColor rgb="FF6E2F1A"/>
        <bgColor rgb="FF922B21"/>
      </patternFill>
    </fill>
    <fill>
      <patternFill patternType="solid">
        <fgColor rgb="FFFAE5D3"/>
        <bgColor rgb="FFFDEBD0"/>
      </patternFill>
    </fill>
    <fill>
      <patternFill patternType="solid">
        <fgColor rgb="FFF5CBA7"/>
        <bgColor rgb="FFFAD7A0"/>
      </patternFill>
    </fill>
    <fill>
      <patternFill patternType="solid">
        <fgColor rgb="FF6B0F1A"/>
        <bgColor rgb="FF800000"/>
      </patternFill>
    </fill>
    <fill>
      <patternFill patternType="solid">
        <fgColor rgb="FFFADADD"/>
        <bgColor rgb="FFFAE5D3"/>
      </patternFill>
    </fill>
    <fill>
      <patternFill patternType="solid">
        <fgColor rgb="FFF1948A"/>
        <bgColor rgb="FFD2B4DE"/>
      </patternFill>
    </fill>
    <fill>
      <patternFill patternType="solid">
        <fgColor rgb="FFF9E79F"/>
        <bgColor rgb="FFFAD7A0"/>
      </patternFill>
    </fill>
    <fill>
      <patternFill patternType="solid">
        <fgColor rgb="FF922B21"/>
        <bgColor rgb="FF6E2F1A"/>
      </patternFill>
    </fill>
    <fill>
      <patternFill patternType="solid">
        <fgColor rgb="FFC0D5E8"/>
        <bgColor rgb="FFC5CAE9"/>
      </patternFill>
    </fill>
    <fill>
      <patternFill patternType="solid">
        <fgColor rgb="FFC1EDD3"/>
        <bgColor rgb="FFD1F2EB"/>
      </patternFill>
    </fill>
    <fill>
      <patternFill patternType="solid">
        <fgColor rgb="FFD7BDE2"/>
        <bgColor rgb="FFD2B4DE"/>
      </patternFill>
    </fill>
  </fills>
  <borders count="6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7F8C8D"/>
      </left>
      <right style="thin">
        <color rgb="FFBFBFBF"/>
      </right>
      <top style="medium">
        <color rgb="FF7F8C8D"/>
      </top>
      <bottom style="medium">
        <color rgb="FF7F8C8D"/>
      </bottom>
      <diagonal/>
    </border>
    <border>
      <left style="medium">
        <color rgb="FFB7950B"/>
      </left>
      <right style="medium">
        <color rgb="FFB7950B"/>
      </right>
      <top style="medium">
        <color rgb="FFB7950B"/>
      </top>
      <bottom style="medium">
        <color rgb="FFB7950B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3" fillId="17" borderId="3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165" fontId="4" fillId="18" borderId="2" xfId="0" applyNumberFormat="1" applyFont="1" applyFill="1" applyBorder="1" applyAlignment="1">
      <alignment horizontal="center" vertical="center" wrapText="1"/>
    </xf>
    <xf numFmtId="166" fontId="4" fillId="18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165" fontId="4" fillId="19" borderId="2" xfId="0" applyNumberFormat="1" applyFont="1" applyFill="1" applyBorder="1" applyAlignment="1">
      <alignment horizontal="center" vertical="center" wrapText="1"/>
    </xf>
    <xf numFmtId="166" fontId="4" fillId="19" borderId="2" xfId="0" applyNumberFormat="1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10" fillId="29" borderId="5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3" fillId="30" borderId="3" xfId="0" applyFont="1" applyFill="1" applyBorder="1" applyAlignment="1">
      <alignment horizontal="center" vertical="center"/>
    </xf>
    <xf numFmtId="0" fontId="11" fillId="30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2" fillId="31" borderId="2" xfId="0" applyFont="1" applyFill="1" applyBorder="1" applyAlignment="1">
      <alignment horizontal="left" vertical="center" wrapText="1"/>
    </xf>
    <xf numFmtId="0" fontId="13" fillId="31" borderId="2" xfId="0" applyFont="1" applyFill="1" applyBorder="1" applyAlignment="1">
      <alignment horizontal="left" vertical="center" wrapText="1"/>
    </xf>
    <xf numFmtId="0" fontId="14" fillId="31" borderId="2" xfId="0" applyFont="1" applyFill="1" applyBorder="1" applyAlignment="1">
      <alignment horizontal="left" vertical="center" wrapText="1"/>
    </xf>
    <xf numFmtId="0" fontId="14" fillId="31" borderId="2" xfId="0" applyFont="1" applyFill="1" applyBorder="1" applyAlignment="1">
      <alignment horizontal="center" vertical="center" wrapText="1"/>
    </xf>
    <xf numFmtId="0" fontId="15" fillId="31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2" fillId="32" borderId="2" xfId="0" applyFont="1" applyFill="1" applyBorder="1" applyAlignment="1">
      <alignment horizontal="left" vertical="center" wrapText="1"/>
    </xf>
    <xf numFmtId="0" fontId="13" fillId="32" borderId="2" xfId="0" applyFont="1" applyFill="1" applyBorder="1" applyAlignment="1">
      <alignment horizontal="left" vertical="center" wrapText="1"/>
    </xf>
    <xf numFmtId="0" fontId="14" fillId="32" borderId="2" xfId="0" applyFont="1" applyFill="1" applyBorder="1" applyAlignment="1">
      <alignment horizontal="left" vertical="center" wrapText="1"/>
    </xf>
    <xf numFmtId="0" fontId="14" fillId="32" borderId="2" xfId="0" applyFont="1" applyFill="1" applyBorder="1" applyAlignment="1">
      <alignment horizontal="center" vertical="center" wrapText="1"/>
    </xf>
    <xf numFmtId="0" fontId="15" fillId="32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2" fillId="33" borderId="2" xfId="0" applyFont="1" applyFill="1" applyBorder="1" applyAlignment="1">
      <alignment horizontal="left" vertical="center" wrapText="1"/>
    </xf>
    <xf numFmtId="0" fontId="13" fillId="33" borderId="2" xfId="0" applyFont="1" applyFill="1" applyBorder="1" applyAlignment="1">
      <alignment horizontal="left" vertical="center" wrapText="1"/>
    </xf>
    <xf numFmtId="0" fontId="14" fillId="33" borderId="2" xfId="0" applyFont="1" applyFill="1" applyBorder="1" applyAlignment="1">
      <alignment horizontal="left" vertical="center" wrapText="1"/>
    </xf>
    <xf numFmtId="0" fontId="14" fillId="33" borderId="2" xfId="0" applyFont="1" applyFill="1" applyBorder="1" applyAlignment="1">
      <alignment horizontal="center" vertical="center" wrapText="1"/>
    </xf>
    <xf numFmtId="0" fontId="15" fillId="33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left" vertical="center" wrapText="1"/>
    </xf>
    <xf numFmtId="165" fontId="13" fillId="19" borderId="2" xfId="0" applyNumberFormat="1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12" fillId="18" borderId="2" xfId="0" applyFont="1" applyFill="1" applyBorder="1" applyAlignment="1">
      <alignment horizontal="left" vertical="center" wrapText="1"/>
    </xf>
    <xf numFmtId="166" fontId="13" fillId="18" borderId="2" xfId="0" applyNumberFormat="1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left" vertical="center" wrapText="1"/>
    </xf>
    <xf numFmtId="0" fontId="13" fillId="19" borderId="2" xfId="0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left" vertical="center" wrapText="1"/>
    </xf>
    <xf numFmtId="0" fontId="12" fillId="22" borderId="2" xfId="0" applyFont="1" applyFill="1" applyBorder="1" applyAlignment="1">
      <alignment horizontal="left" vertical="center" wrapText="1"/>
    </xf>
    <xf numFmtId="0" fontId="13" fillId="22" borderId="2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15" fillId="22" borderId="2" xfId="0" applyFont="1" applyFill="1" applyBorder="1" applyAlignment="1">
      <alignment horizontal="left" vertical="center" wrapText="1"/>
    </xf>
    <xf numFmtId="0" fontId="12" fillId="21" borderId="2" xfId="0" applyFont="1" applyFill="1" applyBorder="1" applyAlignment="1">
      <alignment horizontal="left" vertical="center" wrapText="1"/>
    </xf>
    <xf numFmtId="0" fontId="13" fillId="21" borderId="2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left" vertical="center" wrapText="1"/>
    </xf>
    <xf numFmtId="0" fontId="12" fillId="24" borderId="2" xfId="0" applyFont="1" applyFill="1" applyBorder="1" applyAlignment="1">
      <alignment horizontal="left" vertical="center" wrapText="1"/>
    </xf>
    <xf numFmtId="0" fontId="13" fillId="24" borderId="2" xfId="0" applyFont="1" applyFill="1" applyBorder="1" applyAlignment="1">
      <alignment horizontal="left" vertical="center" wrapText="1"/>
    </xf>
    <xf numFmtId="0" fontId="14" fillId="24" borderId="2" xfId="0" applyFont="1" applyFill="1" applyBorder="1" applyAlignment="1">
      <alignment horizontal="left" vertical="center" wrapText="1"/>
    </xf>
    <xf numFmtId="0" fontId="14" fillId="24" borderId="2" xfId="0" applyFont="1" applyFill="1" applyBorder="1" applyAlignment="1">
      <alignment horizontal="center" vertical="center" wrapText="1"/>
    </xf>
    <xf numFmtId="0" fontId="15" fillId="24" borderId="2" xfId="0" applyFont="1" applyFill="1" applyBorder="1" applyAlignment="1">
      <alignment horizontal="left" vertical="center" wrapText="1"/>
    </xf>
    <xf numFmtId="0" fontId="12" fillId="25" borderId="2" xfId="0" applyFont="1" applyFill="1" applyBorder="1" applyAlignment="1">
      <alignment horizontal="left" vertical="center" wrapText="1"/>
    </xf>
    <xf numFmtId="0" fontId="13" fillId="25" borderId="2" xfId="0" applyFont="1" applyFill="1" applyBorder="1" applyAlignment="1">
      <alignment horizontal="left" vertical="center" wrapText="1"/>
    </xf>
    <xf numFmtId="0" fontId="14" fillId="25" borderId="2" xfId="0" applyFont="1" applyFill="1" applyBorder="1" applyAlignment="1">
      <alignment horizontal="left" vertical="center" wrapText="1"/>
    </xf>
    <xf numFmtId="0" fontId="14" fillId="25" borderId="2" xfId="0" applyFont="1" applyFill="1" applyBorder="1" applyAlignment="1">
      <alignment horizontal="center" vertical="center" wrapText="1"/>
    </xf>
    <xf numFmtId="0" fontId="15" fillId="25" borderId="2" xfId="0" applyFont="1" applyFill="1" applyBorder="1" applyAlignment="1">
      <alignment horizontal="left" vertical="center" wrapText="1"/>
    </xf>
    <xf numFmtId="0" fontId="12" fillId="28" borderId="2" xfId="0" applyFont="1" applyFill="1" applyBorder="1" applyAlignment="1">
      <alignment horizontal="left" vertical="center" wrapText="1"/>
    </xf>
    <xf numFmtId="0" fontId="13" fillId="28" borderId="2" xfId="0" applyFont="1" applyFill="1" applyBorder="1" applyAlignment="1">
      <alignment horizontal="left" vertical="center" wrapText="1"/>
    </xf>
    <xf numFmtId="0" fontId="14" fillId="28" borderId="2" xfId="0" applyFont="1" applyFill="1" applyBorder="1" applyAlignment="1">
      <alignment horizontal="left" vertical="center" wrapText="1"/>
    </xf>
    <xf numFmtId="0" fontId="14" fillId="28" borderId="2" xfId="0" applyFont="1" applyFill="1" applyBorder="1" applyAlignment="1">
      <alignment horizontal="center" vertical="center" wrapText="1"/>
    </xf>
    <xf numFmtId="0" fontId="15" fillId="28" borderId="2" xfId="0" applyFont="1" applyFill="1" applyBorder="1" applyAlignment="1">
      <alignment horizontal="left" vertical="center" wrapText="1"/>
    </xf>
    <xf numFmtId="0" fontId="12" fillId="27" borderId="2" xfId="0" applyFont="1" applyFill="1" applyBorder="1" applyAlignment="1">
      <alignment horizontal="left" vertical="center" wrapText="1"/>
    </xf>
    <xf numFmtId="0" fontId="13" fillId="27" borderId="2" xfId="0" applyFont="1" applyFill="1" applyBorder="1" applyAlignment="1">
      <alignment horizontal="left" vertical="center" wrapText="1"/>
    </xf>
    <xf numFmtId="0" fontId="14" fillId="27" borderId="2" xfId="0" applyFont="1" applyFill="1" applyBorder="1" applyAlignment="1">
      <alignment horizontal="left" vertical="center" wrapText="1"/>
    </xf>
    <xf numFmtId="0" fontId="14" fillId="27" borderId="2" xfId="0" applyFont="1" applyFill="1" applyBorder="1" applyAlignment="1">
      <alignment horizontal="center" vertical="center" wrapText="1"/>
    </xf>
    <xf numFmtId="0" fontId="15" fillId="27" borderId="2" xfId="0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0" fontId="18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14" fontId="4" fillId="24" borderId="2" xfId="0" applyNumberFormat="1" applyFont="1" applyFill="1" applyBorder="1" applyAlignment="1">
      <alignment horizontal="center" vertical="center" wrapText="1"/>
    </xf>
    <xf numFmtId="14" fontId="4" fillId="25" borderId="2" xfId="0" applyNumberFormat="1" applyFont="1" applyFill="1" applyBorder="1" applyAlignment="1">
      <alignment horizontal="center" vertical="center" wrapText="1"/>
    </xf>
    <xf numFmtId="0" fontId="19" fillId="2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6" fillId="15" borderId="4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/>
    </xf>
    <xf numFmtId="0" fontId="6" fillId="18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6" fillId="24" borderId="4" xfId="0" applyFont="1" applyFill="1" applyBorder="1" applyAlignment="1">
      <alignment horizontal="left" vertical="center" wrapText="1"/>
    </xf>
    <xf numFmtId="0" fontId="1" fillId="26" borderId="1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left" vertical="center"/>
    </xf>
    <xf numFmtId="0" fontId="6" fillId="2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E5D3"/>
      <rgbColor rgb="FFFF00FF"/>
      <rgbColor rgb="FFE8EAF6"/>
      <rgbColor rgb="FF6B0F1A"/>
      <rgbColor rgb="FF008000"/>
      <rgbColor rgb="FF000080"/>
      <rgbColor rgb="FF7D6608"/>
      <rgbColor rgb="FF800080"/>
      <rgbColor rgb="FF0E6655"/>
      <rgbColor rgb="FFBFBFBF"/>
      <rgbColor rgb="FF7F8C8D"/>
      <rgbColor rgb="FFC0D5E8"/>
      <rgbColor rgb="FF6C3483"/>
      <rgbColor rgb="FFFDEBD0"/>
      <rgbColor rgb="FFD1F2EB"/>
      <rgbColor rgb="FF660066"/>
      <rgbColor rgb="FFF1948A"/>
      <rgbColor rgb="FF1A5276"/>
      <rgbColor rgb="FFC5CAE9"/>
      <rgbColor rgb="FF000080"/>
      <rgbColor rgb="FFFF00FF"/>
      <rgbColor rgb="FFFADADD"/>
      <rgbColor rgb="FFF2F3F4"/>
      <rgbColor rgb="FF800080"/>
      <rgbColor rgb="FF800000"/>
      <rgbColor rgb="FF008080"/>
      <rgbColor rgb="FF0000FF"/>
      <rgbColor rgb="FFFAFAFA"/>
      <rgbColor rgb="FFD6EAF8"/>
      <rgbColor rgb="FFD5F5E3"/>
      <rgbColor rgb="FFF9E79F"/>
      <rgbColor rgb="FFA2D9CE"/>
      <rgbColor rgb="FFD7BDE2"/>
      <rgbColor rgb="FFD2B4DE"/>
      <rgbColor rgb="FFF5CBA7"/>
      <rgbColor rgb="FF2E75B6"/>
      <rgbColor rgb="FFD6E4F0"/>
      <rgbColor rgb="FFC1EDD3"/>
      <rgbColor rgb="FFFAD7A0"/>
      <rgbColor rgb="FFB7950B"/>
      <rgbColor rgb="FFB7560A"/>
      <rgbColor rgb="FFE8DAEF"/>
      <rgbColor rgb="FFA9DFBF"/>
      <rgbColor rgb="FF1F3864"/>
      <rgbColor rgb="FF1E8449"/>
      <rgbColor rgb="FF003300"/>
      <rgbColor rgb="FF6E2F1A"/>
      <rgbColor rgb="FF922B21"/>
      <rgbColor rgb="FF993366"/>
      <rgbColor rgb="FF283593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28"/>
  <sheetViews>
    <sheetView showGridLines="0" tabSelected="1" zoomScale="97" zoomScaleNormal="100" workbookViewId="0">
      <pane ySplit="2" topLeftCell="A5" activePane="bottomLeft" state="frozen"/>
      <selection pane="bottomLeft" activeCell="H4" sqref="H4:H28"/>
    </sheetView>
  </sheetViews>
  <sheetFormatPr defaultColWidth="8.6640625" defaultRowHeight="14.4" x14ac:dyDescent="0.3"/>
  <cols>
    <col min="1" max="1" width="9.33203125" bestFit="1" customWidth="1"/>
    <col min="2" max="2" width="14.88671875" bestFit="1" customWidth="1"/>
    <col min="3" max="3" width="25.5546875" bestFit="1" customWidth="1"/>
    <col min="4" max="4" width="16.44140625" bestFit="1" customWidth="1"/>
    <col min="5" max="5" width="11.109375" bestFit="1" customWidth="1"/>
    <col min="6" max="6" width="7.5546875" bestFit="1" customWidth="1"/>
    <col min="7" max="7" width="11.33203125" bestFit="1" customWidth="1"/>
    <col min="8" max="8" width="9.6640625" bestFit="1" customWidth="1"/>
    <col min="9" max="9" width="11" bestFit="1" customWidth="1"/>
    <col min="10" max="10" width="9.44140625" bestFit="1" customWidth="1"/>
    <col min="11" max="12" width="10.77734375" bestFit="1" customWidth="1"/>
    <col min="13" max="13" width="13.88671875" bestFit="1" customWidth="1"/>
    <col min="14" max="14" width="9.44140625" bestFit="1" customWidth="1"/>
    <col min="15" max="15" width="19.109375" bestFit="1" customWidth="1"/>
  </cols>
  <sheetData>
    <row r="1" spans="1:15" ht="17.399999999999999" x14ac:dyDescent="0.3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15" ht="31.8" customHeight="1" x14ac:dyDescent="0.3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</row>
    <row r="3" spans="1:15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x14ac:dyDescent="0.3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4">
        <v>44451</v>
      </c>
      <c r="L4" s="4">
        <v>44617</v>
      </c>
      <c r="M4" s="4">
        <v>44691</v>
      </c>
      <c r="N4" s="2">
        <v>133260</v>
      </c>
      <c r="O4" s="3" t="s">
        <v>27</v>
      </c>
    </row>
    <row r="5" spans="1:15" x14ac:dyDescent="0.3">
      <c r="A5" s="5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5" t="s">
        <v>33</v>
      </c>
      <c r="G5" s="5" t="s">
        <v>23</v>
      </c>
      <c r="H5" s="5" t="s">
        <v>34</v>
      </c>
      <c r="I5" s="5" t="s">
        <v>25</v>
      </c>
      <c r="J5" s="5" t="s">
        <v>35</v>
      </c>
      <c r="K5" s="7">
        <v>44895</v>
      </c>
      <c r="L5" s="7">
        <v>45142</v>
      </c>
      <c r="M5" s="7">
        <v>45249</v>
      </c>
      <c r="N5" s="5">
        <v>143599</v>
      </c>
      <c r="O5" s="6" t="s">
        <v>36</v>
      </c>
    </row>
    <row r="6" spans="1:15" x14ac:dyDescent="0.3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2" t="s">
        <v>33</v>
      </c>
      <c r="G6" s="2" t="s">
        <v>23</v>
      </c>
      <c r="H6" s="2" t="s">
        <v>42</v>
      </c>
      <c r="I6" s="2" t="s">
        <v>25</v>
      </c>
      <c r="J6" s="2" t="s">
        <v>43</v>
      </c>
      <c r="K6" s="4">
        <v>44744</v>
      </c>
      <c r="L6" s="4">
        <v>44856</v>
      </c>
      <c r="M6" s="4">
        <v>45122</v>
      </c>
      <c r="N6" s="2">
        <v>38853</v>
      </c>
      <c r="O6" s="3" t="s">
        <v>44</v>
      </c>
    </row>
    <row r="7" spans="1:15" x14ac:dyDescent="0.3">
      <c r="A7" s="5" t="s">
        <v>45</v>
      </c>
      <c r="B7" s="6" t="s">
        <v>46</v>
      </c>
      <c r="C7" s="6" t="s">
        <v>47</v>
      </c>
      <c r="D7" s="6" t="s">
        <v>48</v>
      </c>
      <c r="E7" s="6" t="s">
        <v>49</v>
      </c>
      <c r="F7" s="5" t="s">
        <v>50</v>
      </c>
      <c r="G7" s="5" t="s">
        <v>34</v>
      </c>
      <c r="H7" s="5" t="s">
        <v>51</v>
      </c>
      <c r="I7" s="5" t="s">
        <v>52</v>
      </c>
      <c r="J7" s="5" t="s">
        <v>35</v>
      </c>
      <c r="K7" s="7">
        <v>44378</v>
      </c>
      <c r="L7" s="7">
        <v>44923</v>
      </c>
      <c r="M7" s="7">
        <v>45043</v>
      </c>
      <c r="N7" s="5">
        <v>114844</v>
      </c>
      <c r="O7" s="6" t="s">
        <v>53</v>
      </c>
    </row>
    <row r="8" spans="1:15" x14ac:dyDescent="0.3">
      <c r="A8" s="2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2" t="s">
        <v>33</v>
      </c>
      <c r="G8" s="2" t="s">
        <v>34</v>
      </c>
      <c r="H8" s="2" t="s">
        <v>51</v>
      </c>
      <c r="I8" s="2" t="s">
        <v>52</v>
      </c>
      <c r="J8" s="2" t="s">
        <v>43</v>
      </c>
      <c r="K8" s="4">
        <v>44534</v>
      </c>
      <c r="L8" s="4">
        <v>44703</v>
      </c>
      <c r="M8" s="4">
        <v>45000</v>
      </c>
      <c r="N8" s="2">
        <v>147991</v>
      </c>
      <c r="O8" s="3" t="s">
        <v>59</v>
      </c>
    </row>
    <row r="9" spans="1:15" x14ac:dyDescent="0.3">
      <c r="A9" s="5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5" t="s">
        <v>65</v>
      </c>
      <c r="G9" s="5" t="s">
        <v>66</v>
      </c>
      <c r="H9" s="5" t="s">
        <v>67</v>
      </c>
      <c r="I9" s="5" t="s">
        <v>25</v>
      </c>
      <c r="J9" s="5" t="s">
        <v>68</v>
      </c>
      <c r="K9" s="7">
        <v>45081</v>
      </c>
      <c r="L9" s="7">
        <v>45846</v>
      </c>
      <c r="M9" s="7">
        <v>46183</v>
      </c>
      <c r="N9" s="5">
        <v>42660</v>
      </c>
      <c r="O9" s="6" t="s">
        <v>69</v>
      </c>
    </row>
    <row r="10" spans="1:15" x14ac:dyDescent="0.3">
      <c r="A10" s="2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2" t="s">
        <v>75</v>
      </c>
      <c r="G10" s="2" t="s">
        <v>76</v>
      </c>
      <c r="H10" s="2" t="s">
        <v>67</v>
      </c>
      <c r="I10" s="2" t="s">
        <v>77</v>
      </c>
      <c r="J10" s="2" t="s">
        <v>43</v>
      </c>
      <c r="K10" s="4">
        <v>44708</v>
      </c>
      <c r="L10" s="4">
        <v>44977</v>
      </c>
      <c r="M10" s="4">
        <v>45138</v>
      </c>
      <c r="N10" s="2">
        <v>7922</v>
      </c>
      <c r="O10" s="3" t="s">
        <v>78</v>
      </c>
    </row>
    <row r="11" spans="1:15" x14ac:dyDescent="0.3">
      <c r="A11" s="5" t="s">
        <v>79</v>
      </c>
      <c r="B11" s="6" t="s">
        <v>80</v>
      </c>
      <c r="C11" s="6" t="s">
        <v>81</v>
      </c>
      <c r="D11" s="6" t="s">
        <v>82</v>
      </c>
      <c r="E11" s="6" t="s">
        <v>83</v>
      </c>
      <c r="F11" s="5" t="s">
        <v>65</v>
      </c>
      <c r="G11" s="5" t="s">
        <v>34</v>
      </c>
      <c r="H11" s="5" t="s">
        <v>51</v>
      </c>
      <c r="I11" s="5" t="s">
        <v>25</v>
      </c>
      <c r="J11" s="5" t="s">
        <v>43</v>
      </c>
      <c r="K11" s="7">
        <v>44605</v>
      </c>
      <c r="L11" s="7">
        <v>45030</v>
      </c>
      <c r="M11" s="7">
        <v>45272</v>
      </c>
      <c r="N11" s="5">
        <v>194178</v>
      </c>
      <c r="O11" s="6" t="s">
        <v>84</v>
      </c>
    </row>
    <row r="12" spans="1:15" ht="26.4" x14ac:dyDescent="0.3">
      <c r="A12" s="2" t="s">
        <v>85</v>
      </c>
      <c r="B12" s="3" t="s">
        <v>86</v>
      </c>
      <c r="C12" s="3" t="s">
        <v>87</v>
      </c>
      <c r="D12" s="3" t="s">
        <v>88</v>
      </c>
      <c r="E12" s="3" t="s">
        <v>89</v>
      </c>
      <c r="F12" s="2" t="s">
        <v>33</v>
      </c>
      <c r="G12" s="2" t="s">
        <v>66</v>
      </c>
      <c r="H12" s="2" t="s">
        <v>34</v>
      </c>
      <c r="I12" s="2" t="s">
        <v>52</v>
      </c>
      <c r="J12" s="2" t="s">
        <v>90</v>
      </c>
      <c r="K12" s="4">
        <v>44305</v>
      </c>
      <c r="L12" s="4">
        <v>45039</v>
      </c>
      <c r="M12" s="4">
        <v>45229</v>
      </c>
      <c r="N12" s="2">
        <v>26004</v>
      </c>
      <c r="O12" s="3" t="s">
        <v>91</v>
      </c>
    </row>
    <row r="13" spans="1:15" x14ac:dyDescent="0.3">
      <c r="A13" s="5" t="s">
        <v>92</v>
      </c>
      <c r="B13" s="6" t="s">
        <v>93</v>
      </c>
      <c r="C13" s="6" t="s">
        <v>94</v>
      </c>
      <c r="D13" s="6" t="s">
        <v>95</v>
      </c>
      <c r="E13" s="6" t="s">
        <v>64</v>
      </c>
      <c r="F13" s="5" t="s">
        <v>75</v>
      </c>
      <c r="G13" s="5" t="s">
        <v>66</v>
      </c>
      <c r="H13" s="5" t="s">
        <v>34</v>
      </c>
      <c r="I13" s="5" t="s">
        <v>52</v>
      </c>
      <c r="J13" s="5" t="s">
        <v>35</v>
      </c>
      <c r="K13" s="7">
        <v>45004</v>
      </c>
      <c r="L13" s="7">
        <v>45522</v>
      </c>
      <c r="M13" s="7">
        <v>45825</v>
      </c>
      <c r="N13" s="5">
        <v>165170</v>
      </c>
      <c r="O13" s="6" t="s">
        <v>96</v>
      </c>
    </row>
    <row r="14" spans="1:15" x14ac:dyDescent="0.3">
      <c r="A14" s="2" t="s">
        <v>97</v>
      </c>
      <c r="B14" s="3" t="s">
        <v>98</v>
      </c>
      <c r="C14" s="3" t="s">
        <v>99</v>
      </c>
      <c r="D14" s="3" t="s">
        <v>100</v>
      </c>
      <c r="E14" s="3" t="s">
        <v>83</v>
      </c>
      <c r="F14" s="2" t="s">
        <v>75</v>
      </c>
      <c r="G14" s="2" t="s">
        <v>76</v>
      </c>
      <c r="H14" s="2" t="s">
        <v>51</v>
      </c>
      <c r="I14" s="2" t="s">
        <v>101</v>
      </c>
      <c r="J14" s="2" t="s">
        <v>35</v>
      </c>
      <c r="K14" s="4">
        <v>44399</v>
      </c>
      <c r="L14" s="4">
        <v>44782</v>
      </c>
      <c r="M14" s="4">
        <v>44814</v>
      </c>
      <c r="N14" s="2">
        <v>114238</v>
      </c>
      <c r="O14" s="3" t="s">
        <v>102</v>
      </c>
    </row>
    <row r="15" spans="1:15" x14ac:dyDescent="0.3">
      <c r="A15" s="5" t="s">
        <v>103</v>
      </c>
      <c r="B15" s="6" t="s">
        <v>104</v>
      </c>
      <c r="C15" s="6" t="s">
        <v>105</v>
      </c>
      <c r="D15" s="6" t="s">
        <v>106</v>
      </c>
      <c r="E15" s="6" t="s">
        <v>41</v>
      </c>
      <c r="F15" s="5" t="s">
        <v>75</v>
      </c>
      <c r="G15" s="5" t="s">
        <v>76</v>
      </c>
      <c r="H15" s="5" t="s">
        <v>24</v>
      </c>
      <c r="I15" s="5" t="s">
        <v>52</v>
      </c>
      <c r="J15" s="5" t="s">
        <v>107</v>
      </c>
      <c r="K15" s="7">
        <v>44741</v>
      </c>
      <c r="L15" s="7">
        <v>44978</v>
      </c>
      <c r="M15" s="7">
        <v>45008</v>
      </c>
      <c r="N15" s="5">
        <v>74181</v>
      </c>
      <c r="O15" s="6" t="s">
        <v>108</v>
      </c>
    </row>
    <row r="16" spans="1:15" x14ac:dyDescent="0.3">
      <c r="A16" s="2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2" t="s">
        <v>50</v>
      </c>
      <c r="G16" s="2" t="s">
        <v>34</v>
      </c>
      <c r="H16" s="2" t="s">
        <v>42</v>
      </c>
      <c r="I16" s="2" t="s">
        <v>101</v>
      </c>
      <c r="J16" s="2" t="s">
        <v>43</v>
      </c>
      <c r="K16" s="4">
        <v>44304</v>
      </c>
      <c r="L16" s="4">
        <v>44648</v>
      </c>
      <c r="M16" s="4">
        <v>44716</v>
      </c>
      <c r="N16" s="2">
        <v>151074</v>
      </c>
      <c r="O16" s="3" t="s">
        <v>114</v>
      </c>
    </row>
    <row r="17" spans="1:15" x14ac:dyDescent="0.3">
      <c r="A17" s="5" t="s">
        <v>115</v>
      </c>
      <c r="B17" s="6" t="s">
        <v>116</v>
      </c>
      <c r="C17" s="6" t="s">
        <v>117</v>
      </c>
      <c r="D17" s="6" t="s">
        <v>118</v>
      </c>
      <c r="E17" s="6" t="s">
        <v>64</v>
      </c>
      <c r="F17" s="5" t="s">
        <v>33</v>
      </c>
      <c r="G17" s="5" t="s">
        <v>66</v>
      </c>
      <c r="H17" s="5" t="s">
        <v>42</v>
      </c>
      <c r="I17" s="5" t="s">
        <v>52</v>
      </c>
      <c r="J17" s="5" t="s">
        <v>26</v>
      </c>
      <c r="K17" s="7">
        <v>44468</v>
      </c>
      <c r="L17" s="7">
        <v>44969</v>
      </c>
      <c r="M17" s="7">
        <v>45167</v>
      </c>
      <c r="N17" s="5">
        <v>192444</v>
      </c>
      <c r="O17" s="6" t="s">
        <v>119</v>
      </c>
    </row>
    <row r="18" spans="1:15" x14ac:dyDescent="0.3">
      <c r="A18" s="2" t="s">
        <v>120</v>
      </c>
      <c r="B18" s="3" t="s">
        <v>121</v>
      </c>
      <c r="C18" s="3" t="s">
        <v>122</v>
      </c>
      <c r="D18" s="3" t="s">
        <v>123</v>
      </c>
      <c r="E18" s="3" t="s">
        <v>32</v>
      </c>
      <c r="F18" s="2" t="s">
        <v>33</v>
      </c>
      <c r="G18" s="2" t="s">
        <v>34</v>
      </c>
      <c r="H18" s="2" t="s">
        <v>24</v>
      </c>
      <c r="I18" s="2" t="s">
        <v>124</v>
      </c>
      <c r="J18" s="2" t="s">
        <v>125</v>
      </c>
      <c r="K18" s="4">
        <v>44687</v>
      </c>
      <c r="L18" s="4">
        <v>45303</v>
      </c>
      <c r="M18" s="4">
        <v>45653</v>
      </c>
      <c r="N18" s="2">
        <v>142147</v>
      </c>
      <c r="O18" s="3" t="s">
        <v>126</v>
      </c>
    </row>
    <row r="19" spans="1:15" x14ac:dyDescent="0.3">
      <c r="A19" s="5" t="s">
        <v>127</v>
      </c>
      <c r="B19" s="6" t="s">
        <v>128</v>
      </c>
      <c r="C19" s="6" t="s">
        <v>129</v>
      </c>
      <c r="D19" s="6" t="s">
        <v>130</v>
      </c>
      <c r="E19" s="6" t="s">
        <v>21</v>
      </c>
      <c r="F19" s="5" t="s">
        <v>50</v>
      </c>
      <c r="G19" s="5" t="s">
        <v>23</v>
      </c>
      <c r="H19" s="5" t="s">
        <v>34</v>
      </c>
      <c r="I19" s="5" t="s">
        <v>52</v>
      </c>
      <c r="J19" s="5" t="s">
        <v>43</v>
      </c>
      <c r="K19" s="7">
        <v>44780</v>
      </c>
      <c r="L19" s="7">
        <v>45506</v>
      </c>
      <c r="M19" s="7">
        <v>45808</v>
      </c>
      <c r="N19" s="5">
        <v>48511</v>
      </c>
      <c r="O19" s="6" t="s">
        <v>131</v>
      </c>
    </row>
    <row r="20" spans="1:15" x14ac:dyDescent="0.3">
      <c r="A20" s="2" t="s">
        <v>132</v>
      </c>
      <c r="B20" s="3" t="s">
        <v>133</v>
      </c>
      <c r="C20" s="3" t="s">
        <v>134</v>
      </c>
      <c r="D20" s="3" t="s">
        <v>135</v>
      </c>
      <c r="E20" s="3" t="s">
        <v>32</v>
      </c>
      <c r="F20" s="2" t="s">
        <v>50</v>
      </c>
      <c r="G20" s="2" t="s">
        <v>66</v>
      </c>
      <c r="H20" s="2" t="s">
        <v>51</v>
      </c>
      <c r="I20" s="2" t="s">
        <v>124</v>
      </c>
      <c r="J20" s="2" t="s">
        <v>68</v>
      </c>
      <c r="K20" s="4">
        <v>44765</v>
      </c>
      <c r="L20" s="4">
        <v>45094</v>
      </c>
      <c r="M20" s="4">
        <v>45205</v>
      </c>
      <c r="N20" s="2">
        <v>132051</v>
      </c>
      <c r="O20" s="3" t="s">
        <v>136</v>
      </c>
    </row>
    <row r="21" spans="1:15" x14ac:dyDescent="0.3">
      <c r="A21" s="5" t="s">
        <v>137</v>
      </c>
      <c r="B21" s="6" t="s">
        <v>138</v>
      </c>
      <c r="C21" s="6" t="s">
        <v>139</v>
      </c>
      <c r="D21" s="6" t="s">
        <v>140</v>
      </c>
      <c r="E21" s="6" t="s">
        <v>41</v>
      </c>
      <c r="F21" s="5" t="s">
        <v>50</v>
      </c>
      <c r="G21" s="5" t="s">
        <v>34</v>
      </c>
      <c r="H21" s="5" t="s">
        <v>51</v>
      </c>
      <c r="I21" s="5" t="s">
        <v>124</v>
      </c>
      <c r="J21" s="5" t="s">
        <v>107</v>
      </c>
      <c r="K21" s="7">
        <v>44915</v>
      </c>
      <c r="L21" s="7">
        <v>45307</v>
      </c>
      <c r="M21" s="7">
        <v>45671</v>
      </c>
      <c r="N21" s="5">
        <v>147953</v>
      </c>
      <c r="O21" s="6" t="s">
        <v>141</v>
      </c>
    </row>
    <row r="22" spans="1:15" x14ac:dyDescent="0.3">
      <c r="A22" s="2" t="s">
        <v>142</v>
      </c>
      <c r="B22" s="3" t="s">
        <v>143</v>
      </c>
      <c r="C22" s="3" t="s">
        <v>144</v>
      </c>
      <c r="D22" s="3" t="s">
        <v>145</v>
      </c>
      <c r="E22" s="3" t="s">
        <v>113</v>
      </c>
      <c r="F22" s="2" t="s">
        <v>65</v>
      </c>
      <c r="G22" s="2" t="s">
        <v>76</v>
      </c>
      <c r="H22" s="2" t="s">
        <v>34</v>
      </c>
      <c r="I22" s="2" t="s">
        <v>25</v>
      </c>
      <c r="J22" s="2" t="s">
        <v>43</v>
      </c>
      <c r="K22" s="4">
        <v>44931</v>
      </c>
      <c r="L22" s="4">
        <v>45198</v>
      </c>
      <c r="M22" s="4">
        <v>45542</v>
      </c>
      <c r="N22" s="2">
        <v>168856</v>
      </c>
      <c r="O22" s="3" t="s">
        <v>146</v>
      </c>
    </row>
    <row r="23" spans="1:15" x14ac:dyDescent="0.3">
      <c r="A23" s="5" t="s">
        <v>147</v>
      </c>
      <c r="B23" s="6" t="s">
        <v>148</v>
      </c>
      <c r="C23" s="6" t="s">
        <v>149</v>
      </c>
      <c r="D23" s="6" t="s">
        <v>150</v>
      </c>
      <c r="E23" s="6" t="s">
        <v>89</v>
      </c>
      <c r="F23" s="5" t="s">
        <v>22</v>
      </c>
      <c r="G23" s="5" t="s">
        <v>34</v>
      </c>
      <c r="H23" s="5" t="s">
        <v>51</v>
      </c>
      <c r="I23" s="5" t="s">
        <v>77</v>
      </c>
      <c r="J23" s="5" t="s">
        <v>125</v>
      </c>
      <c r="K23" s="7">
        <v>44730</v>
      </c>
      <c r="L23" s="7">
        <v>45508</v>
      </c>
      <c r="M23" s="7">
        <v>45544</v>
      </c>
      <c r="N23" s="5">
        <v>197152</v>
      </c>
      <c r="O23" s="6" t="s">
        <v>151</v>
      </c>
    </row>
    <row r="24" spans="1:15" x14ac:dyDescent="0.3">
      <c r="A24" s="2" t="s">
        <v>152</v>
      </c>
      <c r="B24" s="3" t="s">
        <v>153</v>
      </c>
      <c r="C24" s="3" t="s">
        <v>154</v>
      </c>
      <c r="D24" s="3" t="s">
        <v>155</v>
      </c>
      <c r="E24" s="3" t="s">
        <v>49</v>
      </c>
      <c r="F24" s="2" t="s">
        <v>65</v>
      </c>
      <c r="G24" s="2" t="s">
        <v>66</v>
      </c>
      <c r="H24" s="2" t="s">
        <v>67</v>
      </c>
      <c r="I24" s="2" t="s">
        <v>101</v>
      </c>
      <c r="J24" s="2" t="s">
        <v>107</v>
      </c>
      <c r="K24" s="4">
        <v>44456</v>
      </c>
      <c r="L24" s="4">
        <v>44806</v>
      </c>
      <c r="M24" s="4">
        <v>45137</v>
      </c>
      <c r="N24" s="2">
        <v>39798</v>
      </c>
      <c r="O24" s="3" t="s">
        <v>156</v>
      </c>
    </row>
    <row r="25" spans="1:15" x14ac:dyDescent="0.3">
      <c r="A25" s="5" t="s">
        <v>157</v>
      </c>
      <c r="B25" s="6" t="s">
        <v>158</v>
      </c>
      <c r="C25" s="6" t="s">
        <v>159</v>
      </c>
      <c r="D25" s="6" t="s">
        <v>160</v>
      </c>
      <c r="E25" s="6" t="s">
        <v>83</v>
      </c>
      <c r="F25" s="5" t="s">
        <v>33</v>
      </c>
      <c r="G25" s="5" t="s">
        <v>23</v>
      </c>
      <c r="H25" s="5" t="s">
        <v>34</v>
      </c>
      <c r="I25" s="5" t="s">
        <v>101</v>
      </c>
      <c r="J25" s="5" t="s">
        <v>35</v>
      </c>
      <c r="K25" s="7">
        <v>45017</v>
      </c>
      <c r="L25" s="7">
        <v>45121</v>
      </c>
      <c r="M25" s="7">
        <v>45171</v>
      </c>
      <c r="N25" s="5">
        <v>90709</v>
      </c>
      <c r="O25" s="6" t="s">
        <v>161</v>
      </c>
    </row>
    <row r="26" spans="1:15" x14ac:dyDescent="0.3">
      <c r="A26" s="2" t="s">
        <v>162</v>
      </c>
      <c r="B26" s="3" t="s">
        <v>163</v>
      </c>
      <c r="C26" s="3" t="s">
        <v>164</v>
      </c>
      <c r="D26" s="3" t="s">
        <v>165</v>
      </c>
      <c r="E26" s="3" t="s">
        <v>58</v>
      </c>
      <c r="F26" s="2" t="s">
        <v>65</v>
      </c>
      <c r="G26" s="2" t="s">
        <v>76</v>
      </c>
      <c r="H26" s="2" t="s">
        <v>51</v>
      </c>
      <c r="I26" s="2" t="s">
        <v>77</v>
      </c>
      <c r="J26" s="2" t="s">
        <v>125</v>
      </c>
      <c r="K26" s="4">
        <v>44979</v>
      </c>
      <c r="L26" s="4">
        <v>45304</v>
      </c>
      <c r="M26" s="4">
        <v>45538</v>
      </c>
      <c r="N26" s="2">
        <v>19305</v>
      </c>
      <c r="O26" s="3" t="s">
        <v>166</v>
      </c>
    </row>
    <row r="27" spans="1:15" x14ac:dyDescent="0.3">
      <c r="A27" s="5" t="s">
        <v>167</v>
      </c>
      <c r="B27" s="6" t="s">
        <v>168</v>
      </c>
      <c r="C27" s="6" t="s">
        <v>169</v>
      </c>
      <c r="D27" s="6" t="s">
        <v>170</v>
      </c>
      <c r="E27" s="6" t="s">
        <v>64</v>
      </c>
      <c r="F27" s="5" t="s">
        <v>75</v>
      </c>
      <c r="G27" s="5" t="s">
        <v>34</v>
      </c>
      <c r="H27" s="5" t="s">
        <v>34</v>
      </c>
      <c r="I27" s="5" t="s">
        <v>124</v>
      </c>
      <c r="J27" s="5" t="s">
        <v>26</v>
      </c>
      <c r="K27" s="7">
        <v>44226</v>
      </c>
      <c r="L27" s="7">
        <v>44462</v>
      </c>
      <c r="M27" s="7">
        <v>44559</v>
      </c>
      <c r="N27" s="5">
        <v>117886</v>
      </c>
      <c r="O27" s="6" t="s">
        <v>171</v>
      </c>
    </row>
    <row r="28" spans="1:15" x14ac:dyDescent="0.3">
      <c r="A28" s="2" t="s">
        <v>172</v>
      </c>
      <c r="B28" s="3" t="s">
        <v>173</v>
      </c>
      <c r="C28" s="3" t="s">
        <v>174</v>
      </c>
      <c r="D28" s="3" t="s">
        <v>175</v>
      </c>
      <c r="E28" s="3" t="s">
        <v>58</v>
      </c>
      <c r="F28" s="2" t="s">
        <v>33</v>
      </c>
      <c r="G28" s="2" t="s">
        <v>66</v>
      </c>
      <c r="H28" s="2" t="s">
        <v>24</v>
      </c>
      <c r="I28" s="2" t="s">
        <v>25</v>
      </c>
      <c r="J28" s="2" t="s">
        <v>43</v>
      </c>
      <c r="K28" s="4">
        <v>44799</v>
      </c>
      <c r="L28" s="4">
        <v>45067</v>
      </c>
      <c r="M28" s="4">
        <v>45271</v>
      </c>
      <c r="N28" s="2">
        <v>136586</v>
      </c>
      <c r="O28" s="3" t="s">
        <v>176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37"/>
  <sheetViews>
    <sheetView showGridLines="0" zoomScaleNormal="100" workbookViewId="0">
      <pane ySplit="3" topLeftCell="A4" activePane="bottomLeft" state="frozen"/>
      <selection pane="bottomLeft" activeCell="E14" sqref="E14:E28"/>
    </sheetView>
  </sheetViews>
  <sheetFormatPr defaultColWidth="8.6640625" defaultRowHeight="14.4" x14ac:dyDescent="0.3"/>
  <cols>
    <col min="1" max="1" width="12.33203125" customWidth="1"/>
    <col min="2" max="2" width="29.109375" customWidth="1"/>
    <col min="3" max="3" width="10" customWidth="1"/>
    <col min="4" max="5" width="14" customWidth="1"/>
    <col min="6" max="6" width="16" customWidth="1"/>
    <col min="7" max="7" width="18" customWidth="1"/>
    <col min="9" max="9" width="16.44140625" customWidth="1"/>
  </cols>
  <sheetData>
    <row r="1" spans="1:10" ht="37.5" customHeight="1" thickBot="1" x14ac:dyDescent="0.35">
      <c r="A1" s="143" t="s">
        <v>177</v>
      </c>
      <c r="B1" s="143"/>
      <c r="C1" s="143"/>
      <c r="D1" s="143"/>
      <c r="E1" s="143"/>
      <c r="F1" s="143"/>
      <c r="G1" s="143"/>
    </row>
    <row r="2" spans="1:10" ht="30" customHeight="1" thickBot="1" x14ac:dyDescent="0.35">
      <c r="A2" s="142" t="s">
        <v>178</v>
      </c>
      <c r="B2" s="142"/>
      <c r="C2" s="142"/>
      <c r="D2" s="142"/>
      <c r="E2" s="142"/>
      <c r="F2" s="142"/>
      <c r="G2" s="142"/>
    </row>
    <row r="3" spans="1:10" ht="21.75" customHeight="1" thickBot="1" x14ac:dyDescent="0.35">
      <c r="A3" s="1" t="s">
        <v>2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</row>
    <row r="4" spans="1:10" ht="15.75" customHeight="1" x14ac:dyDescent="0.3">
      <c r="A4" s="2" t="s">
        <v>17</v>
      </c>
      <c r="B4" s="3" t="s">
        <v>19</v>
      </c>
      <c r="C4" s="8">
        <f>LEN('CRM Dataset'!C4)</f>
        <v>29</v>
      </c>
      <c r="D4" s="8" t="str">
        <f>LEFT(TRIM('CRM Dataset'!C4),5)</f>
        <v>alice</v>
      </c>
      <c r="E4" s="8" t="str">
        <f>RIGHT(TRIM('CRM Dataset'!C4),8)</f>
        <v>mail.com</v>
      </c>
      <c r="F4" s="9" t="str">
        <f>MID(TRIM('CRM Dataset'!C4),FIND("@",TRIM('CRM Dataset'!C4))+1,LEN(TRIM('CRM Dataset'!C4)))</f>
        <v>hotmail.com</v>
      </c>
      <c r="G4" s="9" t="str">
        <f>LEFT(TRIM('CRM Dataset'!C4),FIND("@",TRIM('CRM Dataset'!C4))-1)</f>
        <v>alice.johnson</v>
      </c>
    </row>
    <row r="5" spans="1:10" ht="15.75" customHeight="1" x14ac:dyDescent="0.3">
      <c r="A5" s="5" t="s">
        <v>28</v>
      </c>
      <c r="B5" s="6" t="s">
        <v>30</v>
      </c>
      <c r="C5" s="10">
        <f>LEN('CRM Dataset'!C5)</f>
        <v>21</v>
      </c>
      <c r="D5" s="10" t="str">
        <f>LEFT(TRIM('CRM Dataset'!C5),5)</f>
        <v>bob.s</v>
      </c>
      <c r="E5" s="10" t="str">
        <f>RIGHT(TRIM('CRM Dataset'!C5),8)</f>
        <v>@biz.net</v>
      </c>
      <c r="F5" s="11" t="str">
        <f>MID(TRIM('CRM Dataset'!C5),FIND("@",TRIM('CRM Dataset'!C5))+1,LEN(TRIM('CRM Dataset'!C5)))</f>
        <v>biz.net</v>
      </c>
      <c r="G5" s="11" t="str">
        <f>LEFT(TRIM('CRM Dataset'!C5),FIND("@",TRIM('CRM Dataset'!C5))-1)</f>
        <v>bob.smith</v>
      </c>
    </row>
    <row r="6" spans="1:10" ht="15.75" customHeight="1" thickBot="1" x14ac:dyDescent="0.35">
      <c r="A6" s="2" t="s">
        <v>37</v>
      </c>
      <c r="B6" s="3" t="s">
        <v>39</v>
      </c>
      <c r="C6" s="8">
        <f>LEN('CRM Dataset'!C6)</f>
        <v>25</v>
      </c>
      <c r="D6" s="8" t="str">
        <f>LEFT(TRIM('CRM Dataset'!C6),5)</f>
        <v>carol</v>
      </c>
      <c r="E6" s="8" t="str">
        <f>RIGHT(TRIM('CRM Dataset'!C6),8)</f>
        <v>mail.com</v>
      </c>
      <c r="F6" s="9" t="str">
        <f>MID(TRIM('CRM Dataset'!C6),FIND("@",TRIM('CRM Dataset'!C6))+1,LEN(TRIM('CRM Dataset'!C6)))</f>
        <v>gmail.com</v>
      </c>
      <c r="G6" s="9" t="str">
        <f>LEFT(TRIM('CRM Dataset'!C6),FIND("@",TRIM('CRM Dataset'!C6))-1)</f>
        <v>carol.white</v>
      </c>
    </row>
    <row r="7" spans="1:10" ht="15.75" customHeight="1" thickBot="1" x14ac:dyDescent="0.35">
      <c r="A7" s="5" t="s">
        <v>45</v>
      </c>
      <c r="B7" s="6" t="s">
        <v>47</v>
      </c>
      <c r="C7" s="10">
        <f>LEN('CRM Dataset'!C7)</f>
        <v>27</v>
      </c>
      <c r="D7" s="10" t="str">
        <f>LEFT(TRIM('CRM Dataset'!C7),5)</f>
        <v>david</v>
      </c>
      <c r="E7" s="10" t="str">
        <f>RIGHT(TRIM('CRM Dataset'!C7),8)</f>
        <v>mail.com</v>
      </c>
      <c r="F7" s="11" t="str">
        <f>MID(TRIM('CRM Dataset'!C7),FIND("@",TRIM('CRM Dataset'!C7))+1,LEN(TRIM('CRM Dataset'!C7)))</f>
        <v>webmail.com</v>
      </c>
      <c r="G7" s="11" t="str">
        <f>LEFT(TRIM('CRM Dataset'!C7),FIND("@",TRIM('CRM Dataset'!C7))-1)</f>
        <v>david.brown</v>
      </c>
      <c r="I7" s="1" t="s">
        <v>181</v>
      </c>
      <c r="J7" s="133" t="s">
        <v>599</v>
      </c>
    </row>
    <row r="8" spans="1:10" ht="15.75" customHeight="1" thickBot="1" x14ac:dyDescent="0.35">
      <c r="A8" s="2" t="s">
        <v>54</v>
      </c>
      <c r="B8" s="3" t="s">
        <v>56</v>
      </c>
      <c r="C8" s="8">
        <f>LEN('CRM Dataset'!C8)</f>
        <v>24</v>
      </c>
      <c r="D8" s="8" t="str">
        <f>LEFT(TRIM('CRM Dataset'!C8),5)</f>
        <v>eva.g</v>
      </c>
      <c r="E8" s="8" t="str">
        <f>RIGHT(TRIM('CRM Dataset'!C8),8)</f>
        <v>mpany.io</v>
      </c>
      <c r="F8" s="9" t="str">
        <f>MID(TRIM('CRM Dataset'!C8),FIND("@",TRIM('CRM Dataset'!C8))+1,LEN(TRIM('CRM Dataset'!C8)))</f>
        <v>company.io</v>
      </c>
      <c r="G8" s="9" t="str">
        <f>LEFT(TRIM('CRM Dataset'!C8),FIND("@",TRIM('CRM Dataset'!C8))-1)</f>
        <v>eva.green</v>
      </c>
    </row>
    <row r="9" spans="1:10" ht="15.75" customHeight="1" thickBot="1" x14ac:dyDescent="0.35">
      <c r="A9" s="5" t="s">
        <v>60</v>
      </c>
      <c r="B9" s="6" t="s">
        <v>62</v>
      </c>
      <c r="C9" s="10">
        <f>LEN('CRM Dataset'!C9)</f>
        <v>25</v>
      </c>
      <c r="D9" s="10" t="str">
        <f>LEFT(TRIM('CRM Dataset'!C9),5)</f>
        <v>frank</v>
      </c>
      <c r="E9" s="10" t="str">
        <f>RIGHT(TRIM('CRM Dataset'!C9),8)</f>
        <v>mail.com</v>
      </c>
      <c r="F9" s="11" t="str">
        <f>MID(TRIM('CRM Dataset'!C9),FIND("@",TRIM('CRM Dataset'!C9))+1,LEN(TRIM('CRM Dataset'!C9)))</f>
        <v>webmail.com</v>
      </c>
      <c r="G9" s="11" t="str">
        <f>LEFT(TRIM('CRM Dataset'!C9),FIND("@",TRIM('CRM Dataset'!C9))-1)</f>
        <v>frank.lee</v>
      </c>
      <c r="I9" s="1" t="s">
        <v>182</v>
      </c>
      <c r="J9" s="133" t="s">
        <v>600</v>
      </c>
    </row>
    <row r="10" spans="1:10" ht="15.75" customHeight="1" thickBot="1" x14ac:dyDescent="0.35">
      <c r="A10" s="2" t="s">
        <v>70</v>
      </c>
      <c r="B10" s="3" t="s">
        <v>72</v>
      </c>
      <c r="C10" s="8">
        <f>LEN('CRM Dataset'!C10)</f>
        <v>25</v>
      </c>
      <c r="D10" s="8" t="str">
        <f>LEFT(TRIM('CRM Dataset'!C10),5)</f>
        <v>grace</v>
      </c>
      <c r="E10" s="8" t="str">
        <f>RIGHT(TRIM('CRM Dataset'!C10),8)</f>
        <v>mail.com</v>
      </c>
      <c r="F10" s="9" t="str">
        <f>MID(TRIM('CRM Dataset'!C10),FIND("@",TRIM('CRM Dataset'!C10))+1,LEN(TRIM('CRM Dataset'!C10)))</f>
        <v>hotmail.com</v>
      </c>
      <c r="G10" s="9" t="str">
        <f>LEFT(TRIM('CRM Dataset'!C10),FIND("@",TRIM('CRM Dataset'!C10))-1)</f>
        <v>grace.kim</v>
      </c>
    </row>
    <row r="11" spans="1:10" ht="15.75" customHeight="1" thickBot="1" x14ac:dyDescent="0.35">
      <c r="A11" s="5" t="s">
        <v>79</v>
      </c>
      <c r="B11" s="6" t="s">
        <v>81</v>
      </c>
      <c r="C11" s="10">
        <v>23</v>
      </c>
      <c r="D11" s="10" t="s">
        <v>673</v>
      </c>
      <c r="E11" s="10" t="s">
        <v>674</v>
      </c>
      <c r="F11" s="11" t="s">
        <v>675</v>
      </c>
      <c r="G11" s="11" t="s">
        <v>676</v>
      </c>
      <c r="I11" s="1" t="s">
        <v>180</v>
      </c>
      <c r="J11" s="133" t="s">
        <v>601</v>
      </c>
    </row>
    <row r="12" spans="1:10" ht="15.75" customHeight="1" thickBot="1" x14ac:dyDescent="0.35">
      <c r="A12" s="2" t="s">
        <v>85</v>
      </c>
      <c r="B12" s="3" t="s">
        <v>87</v>
      </c>
      <c r="C12" s="8">
        <v>27</v>
      </c>
      <c r="D12" s="8" t="s">
        <v>677</v>
      </c>
      <c r="E12" s="8" t="s">
        <v>678</v>
      </c>
      <c r="F12" s="9" t="s">
        <v>679</v>
      </c>
      <c r="G12" s="9" t="s">
        <v>680</v>
      </c>
    </row>
    <row r="13" spans="1:10" ht="15.75" customHeight="1" thickBot="1" x14ac:dyDescent="0.35">
      <c r="A13" s="5" t="s">
        <v>92</v>
      </c>
      <c r="B13" s="6" t="s">
        <v>94</v>
      </c>
      <c r="C13" s="10">
        <v>26</v>
      </c>
      <c r="D13" s="10" t="s">
        <v>681</v>
      </c>
      <c r="E13" s="10" t="s">
        <v>682</v>
      </c>
      <c r="F13" s="11" t="s">
        <v>683</v>
      </c>
      <c r="G13" s="11" t="s">
        <v>684</v>
      </c>
      <c r="I13" s="1" t="s">
        <v>184</v>
      </c>
      <c r="J13" s="133" t="s">
        <v>602</v>
      </c>
    </row>
    <row r="14" spans="1:10" ht="15.75" customHeight="1" thickBot="1" x14ac:dyDescent="0.35">
      <c r="A14" s="2" t="s">
        <v>97</v>
      </c>
      <c r="B14" s="3" t="s">
        <v>99</v>
      </c>
      <c r="C14" s="8">
        <f>LEN(B14)</f>
        <v>28</v>
      </c>
      <c r="D14" s="8" t="str">
        <f>LEFT(B14,5)</f>
        <v xml:space="preserve">  kar</v>
      </c>
      <c r="E14" s="8" t="str">
        <f>RIGHT(B14,8)</f>
        <v xml:space="preserve">il.com  </v>
      </c>
      <c r="F14" s="9"/>
      <c r="G14" s="9"/>
    </row>
    <row r="15" spans="1:10" ht="15.75" customHeight="1" thickBot="1" x14ac:dyDescent="0.35">
      <c r="A15" s="5" t="s">
        <v>103</v>
      </c>
      <c r="B15" s="6" t="s">
        <v>105</v>
      </c>
      <c r="C15" s="8">
        <f t="shared" ref="C15:C28" si="0">LEN(B15)</f>
        <v>22</v>
      </c>
      <c r="D15" s="8" t="str">
        <f t="shared" ref="D15:D28" si="1">LEFT(B15,5)</f>
        <v xml:space="preserve">  lia</v>
      </c>
      <c r="E15" s="8" t="str">
        <f t="shared" ref="E15:E28" si="2">RIGHT(B15,8)</f>
        <v xml:space="preserve">orp.in  </v>
      </c>
      <c r="F15" s="11"/>
      <c r="G15" s="11"/>
      <c r="I15" s="1" t="s">
        <v>183</v>
      </c>
      <c r="J15" s="133" t="s">
        <v>603</v>
      </c>
    </row>
    <row r="16" spans="1:10" ht="15.75" customHeight="1" x14ac:dyDescent="0.3">
      <c r="A16" s="2" t="s">
        <v>109</v>
      </c>
      <c r="B16" s="3" t="s">
        <v>111</v>
      </c>
      <c r="C16" s="8">
        <f t="shared" si="0"/>
        <v>27</v>
      </c>
      <c r="D16" s="8" t="str">
        <f t="shared" si="1"/>
        <v xml:space="preserve">  mia</v>
      </c>
      <c r="E16" s="8" t="str">
        <f t="shared" si="2"/>
        <v xml:space="preserve">any.io  </v>
      </c>
      <c r="F16" s="9"/>
      <c r="G16" s="9"/>
    </row>
    <row r="17" spans="1:10" ht="15.75" customHeight="1" x14ac:dyDescent="0.3">
      <c r="A17" s="5" t="s">
        <v>115</v>
      </c>
      <c r="B17" s="6" t="s">
        <v>117</v>
      </c>
      <c r="C17" s="8">
        <f t="shared" si="0"/>
        <v>23</v>
      </c>
      <c r="D17" s="8" t="str">
        <f t="shared" si="1"/>
        <v xml:space="preserve">  noa</v>
      </c>
      <c r="E17" s="8" t="str">
        <f t="shared" si="2"/>
        <v xml:space="preserve">orp.in  </v>
      </c>
      <c r="F17" s="11"/>
      <c r="G17" s="11"/>
      <c r="J17" s="133"/>
    </row>
    <row r="18" spans="1:10" ht="15.75" customHeight="1" x14ac:dyDescent="0.3">
      <c r="A18" s="2" t="s">
        <v>120</v>
      </c>
      <c r="B18" s="3" t="s">
        <v>122</v>
      </c>
      <c r="C18" s="8">
        <f t="shared" si="0"/>
        <v>25</v>
      </c>
      <c r="D18" s="8" t="str">
        <f t="shared" si="1"/>
        <v xml:space="preserve">  oli</v>
      </c>
      <c r="E18" s="8" t="str">
        <f t="shared" si="2"/>
        <v xml:space="preserve">orp.in  </v>
      </c>
      <c r="F18" s="9"/>
      <c r="G18" s="9"/>
    </row>
    <row r="19" spans="1:10" ht="15.75" customHeight="1" x14ac:dyDescent="0.3">
      <c r="A19" s="5" t="s">
        <v>127</v>
      </c>
      <c r="B19" s="6" t="s">
        <v>129</v>
      </c>
      <c r="C19" s="8">
        <f t="shared" si="0"/>
        <v>23</v>
      </c>
      <c r="D19" s="8" t="str">
        <f t="shared" si="1"/>
        <v xml:space="preserve">  pet</v>
      </c>
      <c r="E19" s="8" t="str">
        <f t="shared" si="2"/>
        <v xml:space="preserve">iz.net  </v>
      </c>
      <c r="F19" s="11"/>
      <c r="G19" s="11"/>
    </row>
    <row r="20" spans="1:10" ht="15.75" customHeight="1" x14ac:dyDescent="0.3">
      <c r="A20" s="2" t="s">
        <v>132</v>
      </c>
      <c r="B20" s="3" t="s">
        <v>134</v>
      </c>
      <c r="C20" s="8">
        <f t="shared" si="0"/>
        <v>25</v>
      </c>
      <c r="D20" s="8" t="str">
        <f t="shared" si="1"/>
        <v xml:space="preserve">  qui</v>
      </c>
      <c r="E20" s="8" t="str">
        <f t="shared" si="2"/>
        <v xml:space="preserve">il.com  </v>
      </c>
      <c r="F20" s="9"/>
      <c r="G20" s="9"/>
    </row>
    <row r="21" spans="1:10" ht="15.75" customHeight="1" x14ac:dyDescent="0.3">
      <c r="A21" s="5" t="s">
        <v>137</v>
      </c>
      <c r="B21" s="6" t="s">
        <v>139</v>
      </c>
      <c r="C21" s="8">
        <f t="shared" si="0"/>
        <v>27</v>
      </c>
      <c r="D21" s="8" t="str">
        <f t="shared" si="1"/>
        <v xml:space="preserve">  rya</v>
      </c>
      <c r="E21" s="8" t="str">
        <f t="shared" si="2"/>
        <v xml:space="preserve">il.com  </v>
      </c>
      <c r="F21" s="11"/>
      <c r="G21" s="11"/>
    </row>
    <row r="22" spans="1:10" ht="15.75" customHeight="1" x14ac:dyDescent="0.3">
      <c r="A22" s="2" t="s">
        <v>142</v>
      </c>
      <c r="B22" s="3" t="s">
        <v>144</v>
      </c>
      <c r="C22" s="8">
        <f t="shared" si="0"/>
        <v>25</v>
      </c>
      <c r="D22" s="8" t="str">
        <f t="shared" si="1"/>
        <v xml:space="preserve">  sar</v>
      </c>
      <c r="E22" s="8" t="str">
        <f t="shared" si="2"/>
        <v xml:space="preserve">ok.com  </v>
      </c>
      <c r="F22" s="9"/>
      <c r="G22" s="9"/>
    </row>
    <row r="23" spans="1:10" ht="15.75" customHeight="1" x14ac:dyDescent="0.3">
      <c r="A23" s="5" t="s">
        <v>147</v>
      </c>
      <c r="B23" s="6" t="s">
        <v>149</v>
      </c>
      <c r="C23" s="8">
        <f t="shared" si="0"/>
        <v>25</v>
      </c>
      <c r="D23" s="8" t="str">
        <f t="shared" si="1"/>
        <v xml:space="preserve">  tom</v>
      </c>
      <c r="E23" s="8" t="str">
        <f t="shared" si="2"/>
        <v xml:space="preserve">ok.com  </v>
      </c>
      <c r="F23" s="11"/>
      <c r="G23" s="11"/>
    </row>
    <row r="24" spans="1:10" ht="15.75" customHeight="1" x14ac:dyDescent="0.3">
      <c r="A24" s="2" t="s">
        <v>152</v>
      </c>
      <c r="B24" s="3" t="s">
        <v>154</v>
      </c>
      <c r="C24" s="8">
        <f t="shared" si="0"/>
        <v>25</v>
      </c>
      <c r="D24" s="8" t="str">
        <f t="shared" si="1"/>
        <v xml:space="preserve">  uma</v>
      </c>
      <c r="E24" s="8" t="str">
        <f t="shared" si="2"/>
        <v xml:space="preserve">ok.com  </v>
      </c>
      <c r="F24" s="9"/>
      <c r="G24" s="9"/>
    </row>
    <row r="25" spans="1:10" ht="15.75" customHeight="1" x14ac:dyDescent="0.3">
      <c r="A25" s="5" t="s">
        <v>157</v>
      </c>
      <c r="B25" s="6" t="s">
        <v>159</v>
      </c>
      <c r="C25" s="8">
        <f t="shared" si="0"/>
        <v>26</v>
      </c>
      <c r="D25" s="8" t="str">
        <f t="shared" si="1"/>
        <v xml:space="preserve">  vic</v>
      </c>
      <c r="E25" s="8" t="str">
        <f t="shared" si="2"/>
        <v xml:space="preserve">any.io  </v>
      </c>
      <c r="F25" s="11"/>
      <c r="G25" s="11"/>
    </row>
    <row r="26" spans="1:10" ht="15.75" customHeight="1" x14ac:dyDescent="0.3">
      <c r="A26" s="2" t="s">
        <v>162</v>
      </c>
      <c r="B26" s="3" t="s">
        <v>164</v>
      </c>
      <c r="C26" s="8">
        <f t="shared" si="0"/>
        <v>28</v>
      </c>
      <c r="D26" s="8" t="str">
        <f t="shared" si="1"/>
        <v xml:space="preserve">  wen</v>
      </c>
      <c r="E26" s="8" t="str">
        <f t="shared" si="2"/>
        <v xml:space="preserve">ok.com  </v>
      </c>
      <c r="F26" s="9"/>
      <c r="G26" s="9"/>
    </row>
    <row r="27" spans="1:10" ht="15.75" customHeight="1" x14ac:dyDescent="0.3">
      <c r="A27" s="5" t="s">
        <v>167</v>
      </c>
      <c r="B27" s="6" t="s">
        <v>169</v>
      </c>
      <c r="C27" s="8">
        <f t="shared" si="0"/>
        <v>26</v>
      </c>
      <c r="D27" s="8" t="str">
        <f t="shared" si="1"/>
        <v xml:space="preserve">  xan</v>
      </c>
      <c r="E27" s="8" t="str">
        <f t="shared" si="2"/>
        <v xml:space="preserve">oo.com  </v>
      </c>
      <c r="F27" s="11"/>
      <c r="G27" s="11"/>
    </row>
    <row r="28" spans="1:10" ht="15.75" customHeight="1" x14ac:dyDescent="0.3">
      <c r="A28" s="2" t="s">
        <v>172</v>
      </c>
      <c r="B28" s="3" t="s">
        <v>174</v>
      </c>
      <c r="C28" s="8">
        <f t="shared" si="0"/>
        <v>21</v>
      </c>
      <c r="D28" s="8" t="str">
        <f t="shared" si="1"/>
        <v xml:space="preserve">  yar</v>
      </c>
      <c r="E28" s="8" t="str">
        <f t="shared" si="2"/>
        <v xml:space="preserve">orp.in  </v>
      </c>
      <c r="F28" s="9"/>
      <c r="G28" s="9"/>
    </row>
    <row r="30" spans="1:10" ht="25.5" customHeight="1" thickBot="1" x14ac:dyDescent="0.35">
      <c r="A30" s="144" t="s">
        <v>185</v>
      </c>
      <c r="B30" s="144"/>
      <c r="C30" s="144"/>
      <c r="D30" s="144"/>
      <c r="E30" s="144"/>
      <c r="F30" s="144"/>
      <c r="G30" s="144"/>
    </row>
    <row r="31" spans="1:10" ht="27.75" customHeight="1" thickBot="1" x14ac:dyDescent="0.35">
      <c r="A31" s="145" t="s">
        <v>186</v>
      </c>
      <c r="B31" s="145"/>
      <c r="C31" s="145"/>
      <c r="D31" s="146" t="s">
        <v>187</v>
      </c>
      <c r="E31" s="146"/>
      <c r="F31" s="146"/>
      <c r="G31" s="146"/>
    </row>
    <row r="32" spans="1:10" ht="27.75" customHeight="1" thickBot="1" x14ac:dyDescent="0.35">
      <c r="A32" s="145" t="s">
        <v>188</v>
      </c>
      <c r="B32" s="145"/>
      <c r="C32" s="145"/>
      <c r="D32" s="146" t="s">
        <v>189</v>
      </c>
      <c r="E32" s="146"/>
      <c r="F32" s="146"/>
      <c r="G32" s="146"/>
    </row>
    <row r="33" spans="1:7" ht="27.75" customHeight="1" thickBot="1" x14ac:dyDescent="0.35">
      <c r="A33" s="145" t="s">
        <v>190</v>
      </c>
      <c r="B33" s="145"/>
      <c r="C33" s="145"/>
      <c r="D33" s="146" t="s">
        <v>191</v>
      </c>
      <c r="E33" s="146"/>
      <c r="F33" s="146"/>
      <c r="G33" s="146"/>
    </row>
    <row r="34" spans="1:7" ht="27.75" customHeight="1" thickBot="1" x14ac:dyDescent="0.35">
      <c r="A34" s="145" t="s">
        <v>192</v>
      </c>
      <c r="B34" s="145"/>
      <c r="C34" s="145"/>
      <c r="D34" s="146" t="s">
        <v>193</v>
      </c>
      <c r="E34" s="146"/>
      <c r="F34" s="146"/>
      <c r="G34" s="146"/>
    </row>
    <row r="35" spans="1:7" ht="27.75" customHeight="1" thickBot="1" x14ac:dyDescent="0.35">
      <c r="A35" s="145" t="s">
        <v>194</v>
      </c>
      <c r="B35" s="145"/>
      <c r="C35" s="145"/>
      <c r="D35" s="146" t="s">
        <v>195</v>
      </c>
      <c r="E35" s="146"/>
      <c r="F35" s="146"/>
      <c r="G35" s="146"/>
    </row>
    <row r="36" spans="1:7" ht="27.75" customHeight="1" thickBot="1" x14ac:dyDescent="0.35">
      <c r="A36" s="145" t="s">
        <v>196</v>
      </c>
      <c r="B36" s="145"/>
      <c r="C36" s="145"/>
      <c r="D36" s="146" t="s">
        <v>197</v>
      </c>
      <c r="E36" s="146"/>
      <c r="F36" s="146"/>
      <c r="G36" s="146"/>
    </row>
    <row r="37" spans="1:7" ht="27.75" customHeight="1" thickBot="1" x14ac:dyDescent="0.35">
      <c r="A37" s="145" t="s">
        <v>198</v>
      </c>
      <c r="B37" s="145"/>
      <c r="C37" s="145"/>
      <c r="D37" s="146" t="s">
        <v>199</v>
      </c>
      <c r="E37" s="146"/>
      <c r="F37" s="146"/>
      <c r="G37" s="146"/>
    </row>
  </sheetData>
  <mergeCells count="17"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G1"/>
    <mergeCell ref="A2:G2"/>
    <mergeCell ref="A30:G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J38"/>
  <sheetViews>
    <sheetView showGridLines="0" zoomScaleNormal="100" workbookViewId="0">
      <pane ySplit="3" topLeftCell="A4" activePane="bottomLeft" state="frozen"/>
      <selection pane="bottomLeft" activeCell="C4" sqref="C4"/>
    </sheetView>
  </sheetViews>
  <sheetFormatPr defaultColWidth="8.6640625" defaultRowHeight="14.4" x14ac:dyDescent="0.3"/>
  <cols>
    <col min="1" max="1" width="9" customWidth="1"/>
    <col min="2" max="2" width="22" customWidth="1"/>
    <col min="3" max="6" width="20" customWidth="1"/>
    <col min="7" max="7" width="22" customWidth="1"/>
    <col min="9" max="9" width="15.6640625" customWidth="1"/>
  </cols>
  <sheetData>
    <row r="1" spans="1:10" ht="37.5" customHeight="1" thickBot="1" x14ac:dyDescent="0.35">
      <c r="A1" s="147" t="s">
        <v>200</v>
      </c>
      <c r="B1" s="147"/>
      <c r="C1" s="147"/>
      <c r="D1" s="147"/>
      <c r="E1" s="147"/>
      <c r="F1" s="147"/>
      <c r="G1" s="147"/>
    </row>
    <row r="2" spans="1:10" ht="30" customHeight="1" thickBot="1" x14ac:dyDescent="0.35">
      <c r="A2" s="148" t="s">
        <v>201</v>
      </c>
      <c r="B2" s="148"/>
      <c r="C2" s="148"/>
      <c r="D2" s="148"/>
      <c r="E2" s="148"/>
      <c r="F2" s="148"/>
      <c r="G2" s="148"/>
    </row>
    <row r="3" spans="1:10" ht="21.75" customHeight="1" thickBot="1" x14ac:dyDescent="0.35">
      <c r="A3" s="12" t="s">
        <v>2</v>
      </c>
      <c r="B3" s="12" t="s">
        <v>202</v>
      </c>
      <c r="C3" s="12" t="s">
        <v>203</v>
      </c>
      <c r="D3" s="12" t="s">
        <v>204</v>
      </c>
      <c r="E3" s="12" t="s">
        <v>205</v>
      </c>
      <c r="F3" s="12" t="s">
        <v>206</v>
      </c>
      <c r="G3" s="12" t="s">
        <v>207</v>
      </c>
    </row>
    <row r="4" spans="1:10" ht="15.75" customHeight="1" x14ac:dyDescent="0.3">
      <c r="A4" s="2" t="s">
        <v>17</v>
      </c>
      <c r="B4" s="3" t="s">
        <v>18</v>
      </c>
      <c r="C4" s="13" t="s">
        <v>685</v>
      </c>
      <c r="D4" s="13" t="s">
        <v>686</v>
      </c>
      <c r="E4" s="13" t="s">
        <v>18</v>
      </c>
      <c r="F4" s="13" t="s">
        <v>18</v>
      </c>
      <c r="G4" s="13" t="s">
        <v>18</v>
      </c>
    </row>
    <row r="5" spans="1:10" ht="15.75" customHeight="1" x14ac:dyDescent="0.3">
      <c r="A5" s="5" t="s">
        <v>28</v>
      </c>
      <c r="B5" s="6" t="s">
        <v>29</v>
      </c>
      <c r="C5" s="14" t="s">
        <v>687</v>
      </c>
      <c r="D5" s="14" t="s">
        <v>688</v>
      </c>
      <c r="E5" s="14" t="s">
        <v>29</v>
      </c>
      <c r="F5" s="14" t="s">
        <v>29</v>
      </c>
      <c r="G5" s="14" t="s">
        <v>29</v>
      </c>
    </row>
    <row r="6" spans="1:10" ht="15.75" customHeight="1" x14ac:dyDescent="0.3">
      <c r="A6" s="2" t="s">
        <v>37</v>
      </c>
      <c r="B6" s="3" t="s">
        <v>38</v>
      </c>
      <c r="C6" s="13" t="s">
        <v>38</v>
      </c>
      <c r="D6" s="13" t="s">
        <v>689</v>
      </c>
      <c r="E6" s="13" t="s">
        <v>690</v>
      </c>
      <c r="F6" s="13" t="s">
        <v>691</v>
      </c>
      <c r="G6" s="13" t="s">
        <v>640</v>
      </c>
    </row>
    <row r="7" spans="1:10" ht="15.75" customHeight="1" thickBot="1" x14ac:dyDescent="0.35">
      <c r="A7" s="5" t="s">
        <v>45</v>
      </c>
      <c r="B7" s="6" t="s">
        <v>46</v>
      </c>
      <c r="C7" s="14" t="s">
        <v>692</v>
      </c>
      <c r="D7" s="14" t="s">
        <v>693</v>
      </c>
      <c r="E7" s="14" t="s">
        <v>46</v>
      </c>
      <c r="F7" s="14" t="s">
        <v>46</v>
      </c>
      <c r="G7" s="14" t="s">
        <v>46</v>
      </c>
    </row>
    <row r="8" spans="1:10" ht="15.75" customHeight="1" thickBot="1" x14ac:dyDescent="0.35">
      <c r="A8" s="2" t="s">
        <v>54</v>
      </c>
      <c r="B8" s="3" t="s">
        <v>55</v>
      </c>
      <c r="C8" s="13"/>
      <c r="D8" s="13"/>
      <c r="E8" s="13"/>
      <c r="F8" s="13"/>
      <c r="G8" s="13"/>
      <c r="I8" s="12" t="s">
        <v>203</v>
      </c>
      <c r="J8" s="133" t="s">
        <v>604</v>
      </c>
    </row>
    <row r="9" spans="1:10" ht="15.75" customHeight="1" thickBot="1" x14ac:dyDescent="0.35">
      <c r="A9" s="5" t="s">
        <v>60</v>
      </c>
      <c r="B9" s="6" t="s">
        <v>61</v>
      </c>
      <c r="C9" s="14"/>
      <c r="D9" s="14"/>
      <c r="E9" s="14"/>
      <c r="F9" s="14"/>
      <c r="G9" s="14"/>
    </row>
    <row r="10" spans="1:10" ht="15.75" customHeight="1" thickBot="1" x14ac:dyDescent="0.35">
      <c r="A10" s="2" t="s">
        <v>70</v>
      </c>
      <c r="B10" s="3" t="s">
        <v>71</v>
      </c>
      <c r="C10" s="13"/>
      <c r="D10" s="13"/>
      <c r="E10" s="13"/>
      <c r="F10" s="13"/>
      <c r="G10" s="13"/>
      <c r="I10" s="12" t="s">
        <v>204</v>
      </c>
      <c r="J10" s="133" t="s">
        <v>605</v>
      </c>
    </row>
    <row r="11" spans="1:10" ht="15.75" customHeight="1" thickBot="1" x14ac:dyDescent="0.35">
      <c r="A11" s="5" t="s">
        <v>79</v>
      </c>
      <c r="B11" s="6" t="s">
        <v>80</v>
      </c>
      <c r="C11" s="14"/>
      <c r="D11" s="14"/>
      <c r="E11" s="14"/>
      <c r="F11" s="14"/>
      <c r="G11" s="14"/>
    </row>
    <row r="12" spans="1:10" ht="15.75" customHeight="1" thickBot="1" x14ac:dyDescent="0.35">
      <c r="A12" s="2" t="s">
        <v>85</v>
      </c>
      <c r="B12" s="3" t="s">
        <v>86</v>
      </c>
      <c r="C12" s="13"/>
      <c r="D12" s="13"/>
      <c r="E12" s="13"/>
      <c r="F12" s="13"/>
      <c r="G12" s="13"/>
      <c r="I12" s="12" t="s">
        <v>205</v>
      </c>
      <c r="J12" s="133" t="s">
        <v>606</v>
      </c>
    </row>
    <row r="13" spans="1:10" ht="15.75" customHeight="1" thickBot="1" x14ac:dyDescent="0.35">
      <c r="A13" s="5" t="s">
        <v>92</v>
      </c>
      <c r="B13" s="6" t="s">
        <v>93</v>
      </c>
      <c r="C13" s="14"/>
      <c r="D13" s="14"/>
      <c r="E13" s="14"/>
      <c r="F13" s="14"/>
      <c r="G13" s="14"/>
    </row>
    <row r="14" spans="1:10" ht="15.75" customHeight="1" thickBot="1" x14ac:dyDescent="0.35">
      <c r="A14" s="2" t="s">
        <v>97</v>
      </c>
      <c r="B14" s="3" t="s">
        <v>98</v>
      </c>
      <c r="C14" s="13"/>
      <c r="D14" s="13"/>
      <c r="E14" s="13"/>
      <c r="F14" s="13"/>
      <c r="G14" s="13"/>
      <c r="I14" s="12" t="s">
        <v>206</v>
      </c>
      <c r="J14" s="133" t="s">
        <v>607</v>
      </c>
    </row>
    <row r="15" spans="1:10" ht="15.75" customHeight="1" thickBot="1" x14ac:dyDescent="0.35">
      <c r="A15" s="5" t="s">
        <v>103</v>
      </c>
      <c r="B15" s="6" t="s">
        <v>104</v>
      </c>
      <c r="C15" s="14"/>
      <c r="D15" s="14"/>
      <c r="E15" s="14"/>
      <c r="F15" s="14"/>
      <c r="G15" s="14"/>
    </row>
    <row r="16" spans="1:10" ht="15.75" customHeight="1" thickBot="1" x14ac:dyDescent="0.35">
      <c r="A16" s="2" t="s">
        <v>109</v>
      </c>
      <c r="B16" s="3" t="s">
        <v>110</v>
      </c>
      <c r="C16" s="13"/>
      <c r="D16" s="13"/>
      <c r="E16" s="13"/>
      <c r="F16" s="13"/>
      <c r="G16" s="13"/>
      <c r="I16" s="12" t="s">
        <v>207</v>
      </c>
      <c r="J16" s="133" t="s">
        <v>608</v>
      </c>
    </row>
    <row r="17" spans="1:7" ht="15.75" customHeight="1" x14ac:dyDescent="0.3">
      <c r="A17" s="5" t="s">
        <v>115</v>
      </c>
      <c r="B17" s="6" t="s">
        <v>116</v>
      </c>
      <c r="C17" s="14"/>
      <c r="D17" s="14"/>
      <c r="E17" s="14"/>
      <c r="F17" s="14"/>
      <c r="G17" s="14"/>
    </row>
    <row r="18" spans="1:7" ht="15.75" customHeight="1" x14ac:dyDescent="0.3">
      <c r="A18" s="2" t="s">
        <v>120</v>
      </c>
      <c r="B18" s="3" t="s">
        <v>121</v>
      </c>
      <c r="C18" s="13"/>
      <c r="D18" s="13"/>
      <c r="E18" s="13"/>
      <c r="F18" s="13"/>
      <c r="G18" s="13"/>
    </row>
    <row r="19" spans="1:7" ht="15.75" customHeight="1" x14ac:dyDescent="0.3">
      <c r="A19" s="5" t="s">
        <v>127</v>
      </c>
      <c r="B19" s="6" t="s">
        <v>128</v>
      </c>
      <c r="C19" s="14"/>
      <c r="D19" s="14"/>
      <c r="E19" s="14"/>
      <c r="F19" s="14"/>
      <c r="G19" s="14"/>
    </row>
    <row r="20" spans="1:7" ht="15.75" customHeight="1" x14ac:dyDescent="0.3">
      <c r="A20" s="2" t="s">
        <v>132</v>
      </c>
      <c r="B20" s="3" t="s">
        <v>133</v>
      </c>
      <c r="C20" s="13"/>
      <c r="D20" s="13"/>
      <c r="E20" s="13"/>
      <c r="F20" s="13"/>
      <c r="G20" s="13"/>
    </row>
    <row r="21" spans="1:7" ht="15.75" customHeight="1" x14ac:dyDescent="0.3">
      <c r="A21" s="5" t="s">
        <v>137</v>
      </c>
      <c r="B21" s="6" t="s">
        <v>138</v>
      </c>
      <c r="C21" s="14"/>
      <c r="D21" s="14"/>
      <c r="E21" s="14"/>
      <c r="F21" s="14"/>
      <c r="G21" s="14"/>
    </row>
    <row r="22" spans="1:7" ht="15.75" customHeight="1" x14ac:dyDescent="0.3">
      <c r="A22" s="2" t="s">
        <v>142</v>
      </c>
      <c r="B22" s="3" t="s">
        <v>143</v>
      </c>
      <c r="C22" s="13"/>
      <c r="D22" s="13"/>
      <c r="E22" s="13"/>
      <c r="F22" s="13"/>
      <c r="G22" s="13"/>
    </row>
    <row r="23" spans="1:7" ht="15.75" customHeight="1" x14ac:dyDescent="0.3">
      <c r="A23" s="5" t="s">
        <v>147</v>
      </c>
      <c r="B23" s="6" t="s">
        <v>148</v>
      </c>
      <c r="C23" s="14"/>
      <c r="D23" s="14"/>
      <c r="E23" s="14"/>
      <c r="F23" s="14"/>
      <c r="G23" s="14"/>
    </row>
    <row r="24" spans="1:7" ht="15.75" customHeight="1" x14ac:dyDescent="0.3">
      <c r="A24" s="2" t="s">
        <v>152</v>
      </c>
      <c r="B24" s="3" t="s">
        <v>153</v>
      </c>
      <c r="C24" s="13"/>
      <c r="D24" s="13"/>
      <c r="E24" s="13"/>
      <c r="F24" s="13"/>
      <c r="G24" s="13"/>
    </row>
    <row r="25" spans="1:7" ht="15.75" customHeight="1" x14ac:dyDescent="0.3">
      <c r="A25" s="5" t="s">
        <v>157</v>
      </c>
      <c r="B25" s="6" t="s">
        <v>158</v>
      </c>
      <c r="C25" s="14"/>
      <c r="D25" s="14"/>
      <c r="E25" s="14"/>
      <c r="F25" s="14"/>
      <c r="G25" s="14"/>
    </row>
    <row r="26" spans="1:7" ht="15.75" customHeight="1" x14ac:dyDescent="0.3">
      <c r="A26" s="2" t="s">
        <v>162</v>
      </c>
      <c r="B26" s="3" t="s">
        <v>163</v>
      </c>
      <c r="C26" s="13"/>
      <c r="D26" s="13"/>
      <c r="E26" s="13"/>
      <c r="F26" s="13"/>
      <c r="G26" s="13"/>
    </row>
    <row r="27" spans="1:7" ht="15.75" customHeight="1" x14ac:dyDescent="0.3">
      <c r="A27" s="5" t="s">
        <v>167</v>
      </c>
      <c r="B27" s="6" t="s">
        <v>168</v>
      </c>
      <c r="C27" s="14"/>
      <c r="D27" s="14"/>
      <c r="E27" s="14"/>
      <c r="F27" s="14"/>
      <c r="G27" s="14"/>
    </row>
    <row r="28" spans="1:7" ht="15.75" customHeight="1" x14ac:dyDescent="0.3">
      <c r="A28" s="2" t="s">
        <v>172</v>
      </c>
      <c r="B28" s="3" t="s">
        <v>173</v>
      </c>
      <c r="C28" s="13"/>
      <c r="D28" s="13"/>
      <c r="E28" s="13"/>
      <c r="F28" s="13"/>
      <c r="G28" s="13"/>
    </row>
    <row r="30" spans="1:7" ht="25.5" customHeight="1" thickBot="1" x14ac:dyDescent="0.35">
      <c r="A30" s="149" t="s">
        <v>185</v>
      </c>
      <c r="B30" s="149"/>
      <c r="C30" s="149"/>
      <c r="D30" s="149"/>
      <c r="E30" s="149"/>
      <c r="F30" s="149"/>
      <c r="G30" s="149"/>
    </row>
    <row r="31" spans="1:7" ht="27.75" customHeight="1" thickBot="1" x14ac:dyDescent="0.35">
      <c r="A31" s="150" t="s">
        <v>208</v>
      </c>
      <c r="B31" s="150"/>
      <c r="C31" s="150"/>
      <c r="D31" s="146" t="s">
        <v>209</v>
      </c>
      <c r="E31" s="146"/>
      <c r="F31" s="146"/>
      <c r="G31" s="146"/>
    </row>
    <row r="32" spans="1:7" ht="27.75" customHeight="1" thickBot="1" x14ac:dyDescent="0.35">
      <c r="A32" s="150" t="s">
        <v>210</v>
      </c>
      <c r="B32" s="150"/>
      <c r="C32" s="150"/>
      <c r="D32" s="146" t="s">
        <v>211</v>
      </c>
      <c r="E32" s="146"/>
      <c r="F32" s="146"/>
      <c r="G32" s="146"/>
    </row>
    <row r="33" spans="1:7" ht="27.75" customHeight="1" thickBot="1" x14ac:dyDescent="0.35">
      <c r="A33" s="150" t="s">
        <v>212</v>
      </c>
      <c r="B33" s="150"/>
      <c r="C33" s="150"/>
      <c r="D33" s="146" t="s">
        <v>213</v>
      </c>
      <c r="E33" s="146"/>
      <c r="F33" s="146"/>
      <c r="G33" s="146"/>
    </row>
    <row r="34" spans="1:7" ht="27.75" customHeight="1" thickBot="1" x14ac:dyDescent="0.35">
      <c r="A34" s="150" t="s">
        <v>214</v>
      </c>
      <c r="B34" s="150"/>
      <c r="C34" s="150"/>
      <c r="D34" s="146" t="s">
        <v>215</v>
      </c>
      <c r="E34" s="146"/>
      <c r="F34" s="146"/>
      <c r="G34" s="146"/>
    </row>
    <row r="35" spans="1:7" ht="27.75" customHeight="1" thickBot="1" x14ac:dyDescent="0.35">
      <c r="A35" s="150" t="s">
        <v>216</v>
      </c>
      <c r="B35" s="150"/>
      <c r="C35" s="150"/>
      <c r="D35" s="146" t="s">
        <v>217</v>
      </c>
      <c r="E35" s="146"/>
      <c r="F35" s="146"/>
      <c r="G35" s="146"/>
    </row>
    <row r="36" spans="1:7" ht="27.75" customHeight="1" thickBot="1" x14ac:dyDescent="0.35">
      <c r="A36" s="150" t="s">
        <v>218</v>
      </c>
      <c r="B36" s="150"/>
      <c r="C36" s="150"/>
      <c r="D36" s="146" t="s">
        <v>219</v>
      </c>
      <c r="E36" s="146"/>
      <c r="F36" s="146"/>
      <c r="G36" s="146"/>
    </row>
    <row r="37" spans="1:7" ht="27.75" customHeight="1" thickBot="1" x14ac:dyDescent="0.35">
      <c r="A37" s="150" t="s">
        <v>220</v>
      </c>
      <c r="B37" s="150"/>
      <c r="C37" s="150"/>
      <c r="D37" s="146" t="s">
        <v>221</v>
      </c>
      <c r="E37" s="146"/>
      <c r="F37" s="146"/>
      <c r="G37" s="146"/>
    </row>
    <row r="38" spans="1:7" ht="27.75" customHeight="1" thickBot="1" x14ac:dyDescent="0.35">
      <c r="A38" s="150" t="s">
        <v>222</v>
      </c>
      <c r="B38" s="150"/>
      <c r="C38" s="150"/>
      <c r="D38" s="146" t="s">
        <v>223</v>
      </c>
      <c r="E38" s="146"/>
      <c r="F38" s="146"/>
      <c r="G38" s="146"/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G1"/>
    <mergeCell ref="A2:G2"/>
    <mergeCell ref="A30:G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560A"/>
  </sheetPr>
  <dimension ref="A1:O38"/>
  <sheetViews>
    <sheetView showGridLines="0" zoomScaleNormal="100" workbookViewId="0">
      <pane ySplit="3" topLeftCell="A4" activePane="bottomLeft" state="frozen"/>
      <selection pane="bottomLeft" activeCell="F9" sqref="F9"/>
    </sheetView>
  </sheetViews>
  <sheetFormatPr defaultColWidth="8.6640625" defaultRowHeight="14.4" x14ac:dyDescent="0.3"/>
  <cols>
    <col min="1" max="1" width="9" customWidth="1"/>
    <col min="2" max="2" width="22.6640625" customWidth="1"/>
    <col min="3" max="3" width="29.33203125" customWidth="1"/>
    <col min="4" max="4" width="12" customWidth="1"/>
    <col min="5" max="5" width="15.21875" customWidth="1"/>
    <col min="6" max="6" width="24.109375" customWidth="1"/>
    <col min="7" max="7" width="23" customWidth="1"/>
    <col min="8" max="8" width="20" customWidth="1"/>
    <col min="10" max="10" width="24.5546875" customWidth="1"/>
  </cols>
  <sheetData>
    <row r="1" spans="1:11" ht="37.5" customHeight="1" x14ac:dyDescent="0.3">
      <c r="A1" s="151" t="s">
        <v>224</v>
      </c>
      <c r="B1" s="151"/>
      <c r="C1" s="151"/>
      <c r="D1" s="151"/>
      <c r="E1" s="151"/>
      <c r="F1" s="151"/>
      <c r="G1" s="151"/>
      <c r="H1" s="151"/>
    </row>
    <row r="2" spans="1:11" ht="30" customHeight="1" x14ac:dyDescent="0.3">
      <c r="A2" s="152" t="s">
        <v>225</v>
      </c>
      <c r="B2" s="152"/>
      <c r="C2" s="152"/>
      <c r="D2" s="152"/>
      <c r="E2" s="152"/>
      <c r="F2" s="152"/>
      <c r="G2" s="152"/>
      <c r="H2" s="152"/>
    </row>
    <row r="3" spans="1:11" ht="21.75" customHeight="1" x14ac:dyDescent="0.3">
      <c r="A3" s="15" t="s">
        <v>2</v>
      </c>
      <c r="B3" s="15" t="s">
        <v>226</v>
      </c>
      <c r="C3" s="15" t="s">
        <v>179</v>
      </c>
      <c r="D3" s="15" t="s">
        <v>227</v>
      </c>
      <c r="E3" s="15" t="s">
        <v>228</v>
      </c>
      <c r="F3" s="15" t="s">
        <v>229</v>
      </c>
      <c r="G3" s="15" t="s">
        <v>230</v>
      </c>
      <c r="H3" s="15" t="s">
        <v>231</v>
      </c>
    </row>
    <row r="4" spans="1:11" ht="15.75" customHeight="1" x14ac:dyDescent="0.3">
      <c r="A4" s="2" t="s">
        <v>17</v>
      </c>
      <c r="B4" s="3" t="s">
        <v>20</v>
      </c>
      <c r="C4" s="3" t="s">
        <v>19</v>
      </c>
      <c r="D4" s="16">
        <v>14</v>
      </c>
      <c r="E4" s="16">
        <v>22</v>
      </c>
      <c r="F4" s="17" t="s">
        <v>694</v>
      </c>
      <c r="G4" s="17" t="s">
        <v>695</v>
      </c>
      <c r="H4" s="16" t="s">
        <v>664</v>
      </c>
    </row>
    <row r="5" spans="1:11" ht="15.75" customHeight="1" x14ac:dyDescent="0.3">
      <c r="A5" s="5" t="s">
        <v>28</v>
      </c>
      <c r="B5" s="6" t="s">
        <v>31</v>
      </c>
      <c r="C5" s="6" t="s">
        <v>30</v>
      </c>
      <c r="D5" s="16">
        <v>10</v>
      </c>
      <c r="E5" s="18" t="s">
        <v>696</v>
      </c>
      <c r="F5" s="19" t="s">
        <v>697</v>
      </c>
      <c r="G5" s="19" t="s">
        <v>698</v>
      </c>
      <c r="H5" s="18" t="s">
        <v>664</v>
      </c>
    </row>
    <row r="6" spans="1:11" ht="15.75" customHeight="1" thickBot="1" x14ac:dyDescent="0.35">
      <c r="A6" s="2" t="s">
        <v>37</v>
      </c>
      <c r="B6" s="3" t="s">
        <v>40</v>
      </c>
      <c r="C6" s="3" t="s">
        <v>39</v>
      </c>
      <c r="D6" s="16">
        <v>12</v>
      </c>
      <c r="E6" s="16">
        <v>18</v>
      </c>
      <c r="F6" s="17" t="s">
        <v>699</v>
      </c>
      <c r="G6" s="17" t="s">
        <v>700</v>
      </c>
      <c r="H6" s="16" t="s">
        <v>662</v>
      </c>
    </row>
    <row r="7" spans="1:11" ht="15.75" customHeight="1" thickBot="1" x14ac:dyDescent="0.35">
      <c r="A7" s="5" t="s">
        <v>45</v>
      </c>
      <c r="B7" s="6" t="s">
        <v>48</v>
      </c>
      <c r="C7" s="6" t="s">
        <v>47</v>
      </c>
      <c r="D7" s="16">
        <v>12</v>
      </c>
      <c r="E7" s="18">
        <v>20</v>
      </c>
      <c r="F7" s="19" t="s">
        <v>48</v>
      </c>
      <c r="G7" s="19" t="s">
        <v>701</v>
      </c>
      <c r="H7" s="18" t="s">
        <v>664</v>
      </c>
      <c r="J7" s="15" t="s">
        <v>227</v>
      </c>
      <c r="K7" s="133" t="s">
        <v>614</v>
      </c>
    </row>
    <row r="8" spans="1:11" ht="15.75" customHeight="1" x14ac:dyDescent="0.3">
      <c r="A8" s="2" t="s">
        <v>54</v>
      </c>
      <c r="B8" s="3" t="s">
        <v>57</v>
      </c>
      <c r="C8" s="3" t="s">
        <v>56</v>
      </c>
      <c r="D8" s="16"/>
      <c r="E8" s="16"/>
      <c r="F8" s="17"/>
      <c r="G8" s="17"/>
      <c r="H8" s="16"/>
      <c r="K8" t="s">
        <v>609</v>
      </c>
    </row>
    <row r="9" spans="1:11" ht="15.75" customHeight="1" thickBot="1" x14ac:dyDescent="0.35">
      <c r="A9" s="5" t="s">
        <v>60</v>
      </c>
      <c r="B9" s="6" t="s">
        <v>63</v>
      </c>
      <c r="C9" s="6" t="s">
        <v>62</v>
      </c>
      <c r="D9" s="16"/>
      <c r="E9" s="18"/>
      <c r="F9" s="19"/>
      <c r="G9" s="19"/>
      <c r="H9" s="18"/>
    </row>
    <row r="10" spans="1:11" ht="15.75" customHeight="1" thickBot="1" x14ac:dyDescent="0.35">
      <c r="A10" s="2" t="s">
        <v>70</v>
      </c>
      <c r="B10" s="3" t="s">
        <v>73</v>
      </c>
      <c r="C10" s="3" t="s">
        <v>72</v>
      </c>
      <c r="D10" s="16"/>
      <c r="E10" s="16"/>
      <c r="F10" s="17"/>
      <c r="G10" s="17"/>
      <c r="H10" s="16"/>
      <c r="J10" s="15" t="s">
        <v>228</v>
      </c>
      <c r="K10" s="133" t="s">
        <v>615</v>
      </c>
    </row>
    <row r="11" spans="1:11" ht="15.75" customHeight="1" x14ac:dyDescent="0.3">
      <c r="A11" s="5" t="s">
        <v>79</v>
      </c>
      <c r="B11" s="6" t="s">
        <v>82</v>
      </c>
      <c r="C11" s="135" t="s">
        <v>619</v>
      </c>
      <c r="D11" s="16"/>
      <c r="E11" s="18"/>
      <c r="F11" s="19"/>
      <c r="G11" s="19"/>
      <c r="H11" s="18"/>
      <c r="K11" t="s">
        <v>610</v>
      </c>
    </row>
    <row r="12" spans="1:11" ht="15.75" customHeight="1" thickBot="1" x14ac:dyDescent="0.35">
      <c r="A12" s="2" t="s">
        <v>85</v>
      </c>
      <c r="B12" s="3" t="s">
        <v>88</v>
      </c>
      <c r="C12" s="3" t="s">
        <v>87</v>
      </c>
      <c r="D12" s="16"/>
      <c r="E12" s="16"/>
      <c r="F12" s="17"/>
      <c r="G12" s="17"/>
      <c r="H12" s="16"/>
    </row>
    <row r="13" spans="1:11" ht="15.75" customHeight="1" thickBot="1" x14ac:dyDescent="0.35">
      <c r="A13" s="5" t="s">
        <v>92</v>
      </c>
      <c r="B13" s="6" t="s">
        <v>95</v>
      </c>
      <c r="C13" s="6" t="s">
        <v>94</v>
      </c>
      <c r="D13" s="16"/>
      <c r="E13" s="18"/>
      <c r="F13" s="19"/>
      <c r="G13" s="19"/>
      <c r="H13" s="18"/>
      <c r="J13" s="15" t="s">
        <v>231</v>
      </c>
      <c r="K13" s="133" t="s">
        <v>616</v>
      </c>
    </row>
    <row r="14" spans="1:11" ht="15.75" customHeight="1" x14ac:dyDescent="0.3">
      <c r="A14" s="2" t="s">
        <v>97</v>
      </c>
      <c r="B14" s="3" t="s">
        <v>100</v>
      </c>
      <c r="C14" s="3" t="s">
        <v>99</v>
      </c>
      <c r="D14" s="16"/>
      <c r="E14" s="16"/>
      <c r="F14" s="17"/>
      <c r="G14" s="17"/>
      <c r="H14" s="16"/>
      <c r="K14" t="s">
        <v>611</v>
      </c>
    </row>
    <row r="15" spans="1:11" ht="15.75" customHeight="1" thickBot="1" x14ac:dyDescent="0.35">
      <c r="A15" s="5" t="s">
        <v>103</v>
      </c>
      <c r="B15" s="6" t="s">
        <v>106</v>
      </c>
      <c r="C15" s="135" t="s">
        <v>618</v>
      </c>
      <c r="D15" s="16"/>
      <c r="E15" s="18"/>
      <c r="F15" s="19"/>
      <c r="G15" s="19"/>
      <c r="H15" s="18"/>
    </row>
    <row r="16" spans="1:11" ht="15.75" customHeight="1" thickBot="1" x14ac:dyDescent="0.35">
      <c r="A16" s="2" t="s">
        <v>109</v>
      </c>
      <c r="B16" s="3" t="s">
        <v>112</v>
      </c>
      <c r="C16" s="3" t="s">
        <v>111</v>
      </c>
      <c r="D16" s="16"/>
      <c r="E16" s="16"/>
      <c r="F16" s="17"/>
      <c r="G16" s="17"/>
      <c r="H16" s="16"/>
      <c r="J16" s="15" t="s">
        <v>230</v>
      </c>
      <c r="K16" t="s">
        <v>617</v>
      </c>
    </row>
    <row r="17" spans="1:15" ht="15.75" customHeight="1" x14ac:dyDescent="0.3">
      <c r="A17" s="5" t="s">
        <v>115</v>
      </c>
      <c r="B17" s="6" t="s">
        <v>118</v>
      </c>
      <c r="C17" s="6" t="s">
        <v>117</v>
      </c>
      <c r="D17" s="16"/>
      <c r="E17" s="18"/>
      <c r="F17" s="19"/>
      <c r="G17" s="19"/>
      <c r="H17" s="18"/>
      <c r="K17" t="s">
        <v>612</v>
      </c>
    </row>
    <row r="18" spans="1:15" ht="15.75" customHeight="1" x14ac:dyDescent="0.35">
      <c r="A18" s="2" t="s">
        <v>120</v>
      </c>
      <c r="B18" s="3" t="s">
        <v>123</v>
      </c>
      <c r="C18" s="3" t="s">
        <v>122</v>
      </c>
      <c r="D18" s="16"/>
      <c r="E18" s="16"/>
      <c r="F18" s="17"/>
      <c r="G18" s="17"/>
      <c r="H18" s="16"/>
      <c r="K18" s="134" t="s">
        <v>613</v>
      </c>
    </row>
    <row r="19" spans="1:15" ht="15.75" customHeight="1" x14ac:dyDescent="0.3">
      <c r="A19" s="5" t="s">
        <v>127</v>
      </c>
      <c r="B19" s="6" t="s">
        <v>130</v>
      </c>
      <c r="C19" s="6" t="s">
        <v>129</v>
      </c>
      <c r="D19" s="16"/>
      <c r="E19" s="18"/>
      <c r="F19" s="19"/>
      <c r="G19" s="19"/>
      <c r="H19" s="18"/>
    </row>
    <row r="20" spans="1:15" ht="15.75" customHeight="1" thickBot="1" x14ac:dyDescent="0.35">
      <c r="A20" s="2" t="s">
        <v>132</v>
      </c>
      <c r="B20" s="3" t="s">
        <v>135</v>
      </c>
      <c r="C20" s="3" t="s">
        <v>134</v>
      </c>
      <c r="D20" s="16"/>
      <c r="E20" s="16"/>
      <c r="F20" s="17"/>
      <c r="G20" s="17"/>
      <c r="H20" s="16"/>
    </row>
    <row r="21" spans="1:15" ht="15.75" customHeight="1" thickBot="1" x14ac:dyDescent="0.35">
      <c r="A21" s="5" t="s">
        <v>137</v>
      </c>
      <c r="B21" s="6" t="s">
        <v>140</v>
      </c>
      <c r="C21" s="6" t="s">
        <v>139</v>
      </c>
      <c r="D21" s="16"/>
      <c r="E21" s="18"/>
      <c r="F21" s="19"/>
      <c r="G21" s="19"/>
      <c r="H21" s="18"/>
      <c r="J21" s="15" t="s">
        <v>229</v>
      </c>
      <c r="K21" t="s">
        <v>620</v>
      </c>
    </row>
    <row r="22" spans="1:15" ht="15.75" customHeight="1" x14ac:dyDescent="0.3">
      <c r="A22" s="2" t="s">
        <v>142</v>
      </c>
      <c r="B22" s="3" t="s">
        <v>145</v>
      </c>
      <c r="C22" s="3" t="s">
        <v>144</v>
      </c>
      <c r="D22" s="16"/>
      <c r="E22" s="16"/>
      <c r="F22" s="17"/>
      <c r="G22" s="17"/>
      <c r="H22" s="16"/>
      <c r="K22" s="137">
        <v>91</v>
      </c>
      <c r="L22" s="137" t="s">
        <v>621</v>
      </c>
      <c r="M22" s="137" t="s">
        <v>622</v>
      </c>
      <c r="N22" s="137" t="s">
        <v>623</v>
      </c>
      <c r="O22" s="136" t="s">
        <v>624</v>
      </c>
    </row>
    <row r="23" spans="1:15" ht="15.75" customHeight="1" x14ac:dyDescent="0.3">
      <c r="A23" s="5" t="s">
        <v>147</v>
      </c>
      <c r="B23" s="6" t="s">
        <v>150</v>
      </c>
      <c r="C23" s="6" t="s">
        <v>149</v>
      </c>
      <c r="D23" s="16"/>
      <c r="E23" s="18"/>
      <c r="F23" s="19"/>
      <c r="G23" s="19"/>
      <c r="H23" s="18"/>
      <c r="K23" t="s">
        <v>625</v>
      </c>
    </row>
    <row r="24" spans="1:15" ht="15.75" customHeight="1" x14ac:dyDescent="0.3">
      <c r="A24" s="2" t="s">
        <v>152</v>
      </c>
      <c r="B24" s="3" t="s">
        <v>155</v>
      </c>
      <c r="C24" s="3" t="s">
        <v>154</v>
      </c>
      <c r="D24" s="16"/>
      <c r="E24" s="16"/>
      <c r="F24" s="17"/>
      <c r="G24" s="17"/>
      <c r="H24" s="16"/>
    </row>
    <row r="25" spans="1:15" ht="15.75" customHeight="1" x14ac:dyDescent="0.3">
      <c r="A25" s="5" t="s">
        <v>157</v>
      </c>
      <c r="B25" s="6" t="s">
        <v>160</v>
      </c>
      <c r="C25" s="6" t="s">
        <v>159</v>
      </c>
      <c r="D25" s="16"/>
      <c r="E25" s="18"/>
      <c r="F25" s="19"/>
      <c r="G25" s="19"/>
      <c r="H25" s="18"/>
    </row>
    <row r="26" spans="1:15" ht="15.75" customHeight="1" x14ac:dyDescent="0.3">
      <c r="A26" s="2" t="s">
        <v>162</v>
      </c>
      <c r="B26" s="3" t="s">
        <v>165</v>
      </c>
      <c r="C26" s="3" t="s">
        <v>164</v>
      </c>
      <c r="D26" s="16"/>
      <c r="E26" s="16"/>
      <c r="F26" s="17"/>
      <c r="G26" s="17"/>
      <c r="H26" s="16"/>
      <c r="K26" s="136"/>
    </row>
    <row r="27" spans="1:15" ht="15.75" customHeight="1" x14ac:dyDescent="0.3">
      <c r="A27" s="5" t="s">
        <v>167</v>
      </c>
      <c r="B27" s="6" t="s">
        <v>170</v>
      </c>
      <c r="C27" s="6" t="s">
        <v>169</v>
      </c>
      <c r="D27" s="16"/>
      <c r="E27" s="18"/>
      <c r="F27" s="19"/>
      <c r="G27" s="19"/>
      <c r="H27" s="18"/>
    </row>
    <row r="28" spans="1:15" ht="15.75" customHeight="1" x14ac:dyDescent="0.3">
      <c r="A28" s="2" t="s">
        <v>172</v>
      </c>
      <c r="B28" s="3" t="s">
        <v>175</v>
      </c>
      <c r="C28" s="3" t="s">
        <v>174</v>
      </c>
      <c r="D28" s="16"/>
      <c r="E28" s="16"/>
      <c r="F28" s="17"/>
      <c r="G28" s="17"/>
      <c r="H28" s="16"/>
      <c r="K28" s="136"/>
    </row>
    <row r="29" spans="1:15" ht="15" thickBot="1" x14ac:dyDescent="0.35"/>
    <row r="30" spans="1:15" ht="25.5" customHeight="1" thickBot="1" x14ac:dyDescent="0.35">
      <c r="A30" s="153" t="s">
        <v>185</v>
      </c>
      <c r="B30" s="153"/>
      <c r="C30" s="153"/>
      <c r="D30" s="153"/>
      <c r="E30" s="153"/>
      <c r="F30" s="153"/>
      <c r="G30" s="153"/>
      <c r="H30" s="153"/>
      <c r="K30" s="136"/>
    </row>
    <row r="31" spans="1:15" ht="27.75" customHeight="1" thickBot="1" x14ac:dyDescent="0.35">
      <c r="A31" s="154" t="s">
        <v>232</v>
      </c>
      <c r="B31" s="154"/>
      <c r="C31" s="154"/>
      <c r="D31" s="146" t="s">
        <v>233</v>
      </c>
      <c r="E31" s="146"/>
      <c r="F31" s="146"/>
      <c r="G31" s="146"/>
    </row>
    <row r="32" spans="1:15" ht="27.75" customHeight="1" thickBot="1" x14ac:dyDescent="0.35">
      <c r="A32" s="154" t="s">
        <v>234</v>
      </c>
      <c r="B32" s="154"/>
      <c r="C32" s="154"/>
      <c r="D32" s="146" t="s">
        <v>235</v>
      </c>
      <c r="E32" s="146"/>
      <c r="F32" s="146"/>
      <c r="G32" s="146"/>
    </row>
    <row r="33" spans="1:7" ht="27.75" customHeight="1" thickBot="1" x14ac:dyDescent="0.35">
      <c r="A33" s="154" t="s">
        <v>236</v>
      </c>
      <c r="B33" s="154"/>
      <c r="C33" s="154"/>
      <c r="D33" s="146" t="s">
        <v>237</v>
      </c>
      <c r="E33" s="146"/>
      <c r="F33" s="146"/>
      <c r="G33" s="146"/>
    </row>
    <row r="34" spans="1:7" ht="27.75" customHeight="1" thickBot="1" x14ac:dyDescent="0.35">
      <c r="A34" s="154" t="s">
        <v>238</v>
      </c>
      <c r="B34" s="154"/>
      <c r="C34" s="154"/>
      <c r="D34" s="146" t="s">
        <v>239</v>
      </c>
      <c r="E34" s="146"/>
      <c r="F34" s="146"/>
      <c r="G34" s="146"/>
    </row>
    <row r="35" spans="1:7" ht="27.75" customHeight="1" x14ac:dyDescent="0.3">
      <c r="A35" s="154" t="s">
        <v>240</v>
      </c>
      <c r="B35" s="154"/>
      <c r="C35" s="154"/>
      <c r="D35" s="146" t="s">
        <v>241</v>
      </c>
      <c r="E35" s="146"/>
      <c r="F35" s="146"/>
      <c r="G35" s="146"/>
    </row>
    <row r="36" spans="1:7" ht="27.75" customHeight="1" x14ac:dyDescent="0.3">
      <c r="A36" s="154" t="s">
        <v>242</v>
      </c>
      <c r="B36" s="154"/>
      <c r="C36" s="154"/>
      <c r="D36" s="146" t="s">
        <v>243</v>
      </c>
      <c r="E36" s="146"/>
      <c r="F36" s="146"/>
      <c r="G36" s="146"/>
    </row>
    <row r="37" spans="1:7" ht="27.75" customHeight="1" x14ac:dyDescent="0.3">
      <c r="A37" s="154" t="s">
        <v>244</v>
      </c>
      <c r="B37" s="154"/>
      <c r="C37" s="154"/>
      <c r="D37" s="146" t="s">
        <v>245</v>
      </c>
      <c r="E37" s="146"/>
      <c r="F37" s="146"/>
      <c r="G37" s="146"/>
    </row>
    <row r="38" spans="1:7" ht="27.75" customHeight="1" x14ac:dyDescent="0.3">
      <c r="A38" s="154" t="s">
        <v>246</v>
      </c>
      <c r="B38" s="154"/>
      <c r="C38" s="154"/>
      <c r="D38" s="146" t="s">
        <v>247</v>
      </c>
      <c r="E38" s="146"/>
      <c r="F38" s="146"/>
      <c r="G38" s="146"/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H1"/>
    <mergeCell ref="A2:H2"/>
    <mergeCell ref="A30:H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483"/>
  </sheetPr>
  <dimension ref="A1:H49"/>
  <sheetViews>
    <sheetView showGridLines="0" zoomScaleNormal="100" workbookViewId="0">
      <pane ySplit="3" topLeftCell="A4" activePane="bottomLeft" state="frozen"/>
      <selection pane="bottomLeft" activeCell="D11" sqref="D11"/>
    </sheetView>
  </sheetViews>
  <sheetFormatPr defaultColWidth="8.6640625" defaultRowHeight="14.4" x14ac:dyDescent="0.3"/>
  <cols>
    <col min="1" max="1" width="9" customWidth="1"/>
    <col min="2" max="3" width="20" customWidth="1"/>
    <col min="4" max="4" width="22" customWidth="1"/>
    <col min="5" max="5" width="43.21875" customWidth="1"/>
    <col min="6" max="6" width="27.33203125" customWidth="1"/>
    <col min="7" max="7" width="28.109375" customWidth="1"/>
    <col min="8" max="8" width="32.44140625" customWidth="1"/>
    <col min="10" max="10" width="20.5546875" customWidth="1"/>
  </cols>
  <sheetData>
    <row r="1" spans="1:8" ht="37.5" customHeight="1" x14ac:dyDescent="0.3">
      <c r="A1" s="155" t="s">
        <v>248</v>
      </c>
      <c r="B1" s="155"/>
      <c r="C1" s="155"/>
      <c r="D1" s="155"/>
      <c r="E1" s="155"/>
      <c r="F1" s="155"/>
      <c r="G1" s="155"/>
      <c r="H1" s="155"/>
    </row>
    <row r="2" spans="1:8" ht="30" customHeight="1" x14ac:dyDescent="0.3">
      <c r="A2" s="156" t="s">
        <v>249</v>
      </c>
      <c r="B2" s="156"/>
      <c r="C2" s="156"/>
      <c r="D2" s="156"/>
      <c r="E2" s="156"/>
      <c r="F2" s="156"/>
      <c r="G2" s="156"/>
      <c r="H2" s="156"/>
    </row>
    <row r="3" spans="1:8" ht="21.75" customHeight="1" x14ac:dyDescent="0.3">
      <c r="A3" s="20" t="s">
        <v>2</v>
      </c>
      <c r="B3" s="20" t="s">
        <v>250</v>
      </c>
      <c r="C3" s="20" t="s">
        <v>251</v>
      </c>
      <c r="D3" s="20" t="s">
        <v>252</v>
      </c>
      <c r="E3" s="20" t="s">
        <v>253</v>
      </c>
      <c r="F3" s="20" t="s">
        <v>254</v>
      </c>
      <c r="G3" s="20" t="s">
        <v>255</v>
      </c>
      <c r="H3" s="20" t="s">
        <v>256</v>
      </c>
    </row>
    <row r="4" spans="1:8" ht="15.75" customHeight="1" x14ac:dyDescent="0.3">
      <c r="A4" s="2" t="s">
        <v>17</v>
      </c>
      <c r="B4" s="22" t="s">
        <v>626</v>
      </c>
      <c r="C4" s="22" t="s">
        <v>627</v>
      </c>
      <c r="D4" s="22" t="s">
        <v>18</v>
      </c>
      <c r="E4" s="22" t="s">
        <v>628</v>
      </c>
      <c r="F4" s="22" t="s">
        <v>629</v>
      </c>
      <c r="G4" s="22" t="s">
        <v>630</v>
      </c>
      <c r="H4" s="22" t="s">
        <v>631</v>
      </c>
    </row>
    <row r="5" spans="1:8" ht="15.75" customHeight="1" x14ac:dyDescent="0.3">
      <c r="A5" s="5" t="s">
        <v>28</v>
      </c>
      <c r="B5" s="21" t="s">
        <v>632</v>
      </c>
      <c r="C5" s="21" t="s">
        <v>633</v>
      </c>
      <c r="D5" s="21" t="s">
        <v>29</v>
      </c>
      <c r="E5" s="21" t="s">
        <v>634</v>
      </c>
      <c r="F5" s="21" t="s">
        <v>635</v>
      </c>
      <c r="G5" s="21" t="s">
        <v>636</v>
      </c>
      <c r="H5" s="21" t="s">
        <v>637</v>
      </c>
    </row>
    <row r="6" spans="1:8" ht="15.75" customHeight="1" x14ac:dyDescent="0.3">
      <c r="A6" s="2" t="s">
        <v>37</v>
      </c>
      <c r="B6" s="22" t="s">
        <v>638</v>
      </c>
      <c r="C6" s="22" t="s">
        <v>639</v>
      </c>
      <c r="D6" s="22" t="s">
        <v>640</v>
      </c>
      <c r="E6" s="22" t="s">
        <v>641</v>
      </c>
      <c r="F6" s="22" t="s">
        <v>642</v>
      </c>
      <c r="G6" s="22" t="s">
        <v>643</v>
      </c>
      <c r="H6" s="22" t="s">
        <v>644</v>
      </c>
    </row>
    <row r="7" spans="1:8" ht="15.75" customHeight="1" x14ac:dyDescent="0.3">
      <c r="A7" s="5" t="s">
        <v>45</v>
      </c>
      <c r="B7" s="21" t="s">
        <v>645</v>
      </c>
      <c r="C7" s="21" t="s">
        <v>646</v>
      </c>
      <c r="D7" s="21" t="s">
        <v>46</v>
      </c>
      <c r="E7" s="21" t="s">
        <v>647</v>
      </c>
      <c r="F7" s="21" t="s">
        <v>648</v>
      </c>
      <c r="G7" s="21" t="s">
        <v>649</v>
      </c>
      <c r="H7" s="21" t="s">
        <v>650</v>
      </c>
    </row>
    <row r="8" spans="1:8" ht="15.75" customHeight="1" x14ac:dyDescent="0.3">
      <c r="A8" s="2" t="s">
        <v>54</v>
      </c>
      <c r="B8" s="22" t="s">
        <v>651</v>
      </c>
      <c r="C8" s="22" t="s">
        <v>652</v>
      </c>
      <c r="D8" s="22" t="s">
        <v>653</v>
      </c>
      <c r="E8" s="22" t="s">
        <v>654</v>
      </c>
      <c r="F8" s="22" t="s">
        <v>655</v>
      </c>
      <c r="G8" s="22" t="s">
        <v>656</v>
      </c>
      <c r="H8" s="22" t="s">
        <v>657</v>
      </c>
    </row>
    <row r="9" spans="1:8" ht="15.75" customHeight="1" x14ac:dyDescent="0.3">
      <c r="A9" s="5" t="s">
        <v>60</v>
      </c>
      <c r="B9" s="21"/>
      <c r="C9" s="21"/>
      <c r="D9" s="21"/>
      <c r="E9" s="21"/>
      <c r="F9" s="21"/>
      <c r="G9" s="21"/>
      <c r="H9" s="21"/>
    </row>
    <row r="10" spans="1:8" ht="15.75" customHeight="1" x14ac:dyDescent="0.3">
      <c r="A10" s="2" t="s">
        <v>70</v>
      </c>
      <c r="B10" s="21"/>
      <c r="C10" s="21"/>
      <c r="D10" s="21"/>
      <c r="E10" s="21"/>
      <c r="F10" s="21"/>
      <c r="G10" s="21"/>
      <c r="H10" s="21"/>
    </row>
    <row r="11" spans="1:8" ht="15.75" customHeight="1" x14ac:dyDescent="0.3">
      <c r="A11" s="5" t="s">
        <v>79</v>
      </c>
      <c r="B11" s="22"/>
      <c r="C11" s="22"/>
      <c r="D11" s="22"/>
      <c r="E11" s="22"/>
      <c r="F11" s="22"/>
      <c r="G11" s="22"/>
      <c r="H11" s="22"/>
    </row>
    <row r="12" spans="1:8" ht="15.75" customHeight="1" x14ac:dyDescent="0.3">
      <c r="A12" s="2" t="s">
        <v>85</v>
      </c>
      <c r="B12" s="21"/>
      <c r="C12" s="21"/>
      <c r="D12" s="21"/>
      <c r="E12" s="21"/>
      <c r="F12" s="21"/>
      <c r="G12" s="21"/>
      <c r="H12" s="21"/>
    </row>
    <row r="13" spans="1:8" ht="15.75" customHeight="1" x14ac:dyDescent="0.3">
      <c r="A13" s="5" t="s">
        <v>92</v>
      </c>
      <c r="B13" s="22"/>
      <c r="C13" s="22"/>
      <c r="D13" s="22"/>
      <c r="E13" s="22"/>
      <c r="F13" s="22"/>
      <c r="G13" s="22"/>
      <c r="H13" s="22"/>
    </row>
    <row r="14" spans="1:8" ht="15.75" customHeight="1" x14ac:dyDescent="0.3">
      <c r="A14" s="2" t="s">
        <v>97</v>
      </c>
      <c r="B14" s="21"/>
      <c r="C14" s="21"/>
      <c r="D14" s="21"/>
      <c r="E14" s="21"/>
      <c r="F14" s="21"/>
      <c r="G14" s="21"/>
      <c r="H14" s="21"/>
    </row>
    <row r="15" spans="1:8" ht="15.75" customHeight="1" x14ac:dyDescent="0.3">
      <c r="A15" s="5" t="s">
        <v>103</v>
      </c>
      <c r="B15" s="22"/>
      <c r="C15" s="22"/>
      <c r="D15" s="22"/>
      <c r="E15" s="22"/>
      <c r="F15" s="22"/>
      <c r="G15" s="22"/>
      <c r="H15" s="22"/>
    </row>
    <row r="16" spans="1:8" ht="15.75" customHeight="1" x14ac:dyDescent="0.3">
      <c r="A16" s="2" t="s">
        <v>109</v>
      </c>
      <c r="B16" s="21"/>
      <c r="C16" s="21"/>
      <c r="D16" s="21"/>
      <c r="E16" s="21"/>
      <c r="F16" s="21"/>
      <c r="G16" s="21"/>
      <c r="H16" s="21"/>
    </row>
    <row r="17" spans="1:8" ht="15.75" customHeight="1" x14ac:dyDescent="0.3">
      <c r="A17" s="5" t="s">
        <v>115</v>
      </c>
      <c r="B17" s="22"/>
      <c r="C17" s="22"/>
      <c r="D17" s="22"/>
      <c r="E17" s="22"/>
      <c r="F17" s="22"/>
      <c r="G17" s="22"/>
      <c r="H17" s="22"/>
    </row>
    <row r="18" spans="1:8" ht="15.75" customHeight="1" x14ac:dyDescent="0.3">
      <c r="A18" s="2" t="s">
        <v>120</v>
      </c>
      <c r="B18" s="21"/>
      <c r="C18" s="21"/>
      <c r="D18" s="21"/>
      <c r="E18" s="21"/>
      <c r="F18" s="21"/>
      <c r="G18" s="21"/>
      <c r="H18" s="21"/>
    </row>
    <row r="19" spans="1:8" ht="15.75" customHeight="1" x14ac:dyDescent="0.3">
      <c r="A19" s="5" t="s">
        <v>127</v>
      </c>
      <c r="B19" s="22"/>
      <c r="C19" s="22"/>
      <c r="D19" s="22"/>
      <c r="E19" s="22"/>
      <c r="F19" s="22"/>
      <c r="G19" s="22"/>
      <c r="H19" s="22"/>
    </row>
    <row r="20" spans="1:8" ht="15.75" customHeight="1" x14ac:dyDescent="0.3">
      <c r="A20" s="2" t="s">
        <v>132</v>
      </c>
      <c r="B20" s="21"/>
      <c r="C20" s="21"/>
      <c r="D20" s="21"/>
      <c r="E20" s="21"/>
      <c r="F20" s="21"/>
      <c r="G20" s="21"/>
      <c r="H20" s="21"/>
    </row>
    <row r="21" spans="1:8" ht="15.75" customHeight="1" x14ac:dyDescent="0.3">
      <c r="A21" s="5" t="s">
        <v>137</v>
      </c>
      <c r="B21" s="22"/>
      <c r="C21" s="22"/>
      <c r="D21" s="22"/>
      <c r="E21" s="22"/>
      <c r="F21" s="22"/>
      <c r="G21" s="22"/>
      <c r="H21" s="22"/>
    </row>
    <row r="22" spans="1:8" ht="15.75" customHeight="1" x14ac:dyDescent="0.3">
      <c r="A22" s="2" t="s">
        <v>142</v>
      </c>
      <c r="B22" s="21"/>
      <c r="C22" s="21"/>
      <c r="D22" s="21"/>
      <c r="E22" s="21"/>
      <c r="F22" s="21"/>
      <c r="G22" s="21"/>
      <c r="H22" s="21"/>
    </row>
    <row r="23" spans="1:8" ht="15.75" customHeight="1" x14ac:dyDescent="0.3">
      <c r="A23" s="5" t="s">
        <v>147</v>
      </c>
      <c r="B23" s="22"/>
      <c r="C23" s="22"/>
      <c r="D23" s="22"/>
      <c r="E23" s="22"/>
      <c r="F23" s="22"/>
      <c r="G23" s="22"/>
      <c r="H23" s="22"/>
    </row>
    <row r="24" spans="1:8" ht="15.75" customHeight="1" x14ac:dyDescent="0.3">
      <c r="A24" s="2" t="s">
        <v>152</v>
      </c>
      <c r="B24" s="21"/>
      <c r="C24" s="21"/>
      <c r="D24" s="21"/>
      <c r="E24" s="21"/>
      <c r="F24" s="21"/>
      <c r="G24" s="21"/>
      <c r="H24" s="21"/>
    </row>
    <row r="25" spans="1:8" ht="15.75" customHeight="1" x14ac:dyDescent="0.3">
      <c r="A25" s="5" t="s">
        <v>157</v>
      </c>
      <c r="B25" s="22"/>
      <c r="C25" s="22"/>
      <c r="D25" s="22"/>
      <c r="E25" s="22"/>
      <c r="F25" s="22"/>
      <c r="G25" s="22"/>
      <c r="H25" s="22"/>
    </row>
    <row r="26" spans="1:8" ht="15.75" customHeight="1" x14ac:dyDescent="0.3">
      <c r="A26" s="2" t="s">
        <v>162</v>
      </c>
      <c r="B26" s="21"/>
      <c r="C26" s="21"/>
      <c r="D26" s="21"/>
      <c r="E26" s="21"/>
      <c r="F26" s="21"/>
      <c r="G26" s="21"/>
      <c r="H26" s="21"/>
    </row>
    <row r="27" spans="1:8" ht="15.75" customHeight="1" x14ac:dyDescent="0.3">
      <c r="A27" s="5" t="s">
        <v>167</v>
      </c>
      <c r="B27" s="22"/>
      <c r="C27" s="22"/>
      <c r="D27" s="22"/>
      <c r="E27" s="22"/>
      <c r="F27" s="22"/>
      <c r="G27" s="22"/>
      <c r="H27" s="22"/>
    </row>
    <row r="28" spans="1:8" ht="15.75" customHeight="1" x14ac:dyDescent="0.3">
      <c r="A28" s="2" t="s">
        <v>172</v>
      </c>
      <c r="B28" s="21"/>
      <c r="C28" s="21"/>
      <c r="D28" s="21"/>
      <c r="E28" s="21"/>
      <c r="F28" s="21"/>
      <c r="G28" s="21"/>
      <c r="H28" s="21"/>
    </row>
    <row r="30" spans="1:8" ht="25.5" customHeight="1" x14ac:dyDescent="0.3">
      <c r="A30" s="157" t="s">
        <v>185</v>
      </c>
      <c r="B30" s="157"/>
      <c r="C30" s="157"/>
      <c r="D30" s="157"/>
      <c r="E30" s="157"/>
      <c r="F30" s="157"/>
      <c r="G30" s="157"/>
      <c r="H30" s="157"/>
    </row>
    <row r="31" spans="1:8" ht="27.75" customHeight="1" x14ac:dyDescent="0.3">
      <c r="A31" s="158" t="s">
        <v>257</v>
      </c>
      <c r="B31" s="158"/>
      <c r="C31" s="158"/>
      <c r="D31" s="146" t="s">
        <v>258</v>
      </c>
      <c r="E31" s="146"/>
      <c r="F31" s="146"/>
      <c r="G31" s="146"/>
    </row>
    <row r="32" spans="1:8" ht="27.75" customHeight="1" x14ac:dyDescent="0.3">
      <c r="A32" s="158" t="s">
        <v>259</v>
      </c>
      <c r="B32" s="158"/>
      <c r="C32" s="158"/>
      <c r="D32" s="146" t="s">
        <v>260</v>
      </c>
      <c r="E32" s="146"/>
      <c r="F32" s="146"/>
      <c r="G32" s="146"/>
    </row>
    <row r="33" spans="1:7" ht="27.75" customHeight="1" x14ac:dyDescent="0.3">
      <c r="A33" s="158" t="s">
        <v>261</v>
      </c>
      <c r="B33" s="158"/>
      <c r="C33" s="158"/>
      <c r="D33" s="146" t="s">
        <v>262</v>
      </c>
      <c r="E33" s="146"/>
      <c r="F33" s="146"/>
      <c r="G33" s="146"/>
    </row>
    <row r="34" spans="1:7" ht="27.75" customHeight="1" x14ac:dyDescent="0.3">
      <c r="A34" s="158" t="s">
        <v>263</v>
      </c>
      <c r="B34" s="158"/>
      <c r="C34" s="158"/>
      <c r="D34" s="146" t="s">
        <v>264</v>
      </c>
      <c r="E34" s="146"/>
      <c r="F34" s="146"/>
      <c r="G34" s="146"/>
    </row>
    <row r="35" spans="1:7" ht="27.75" customHeight="1" x14ac:dyDescent="0.3">
      <c r="A35" s="158" t="s">
        <v>265</v>
      </c>
      <c r="B35" s="158"/>
      <c r="C35" s="158"/>
      <c r="D35" s="146" t="s">
        <v>266</v>
      </c>
      <c r="E35" s="146"/>
      <c r="F35" s="146"/>
      <c r="G35" s="146"/>
    </row>
    <row r="36" spans="1:7" ht="27.75" customHeight="1" x14ac:dyDescent="0.3">
      <c r="A36" s="158" t="s">
        <v>267</v>
      </c>
      <c r="B36" s="158"/>
      <c r="C36" s="158"/>
      <c r="D36" s="146" t="s">
        <v>268</v>
      </c>
      <c r="E36" s="146"/>
      <c r="F36" s="146"/>
      <c r="G36" s="146"/>
    </row>
    <row r="37" spans="1:7" ht="27.75" customHeight="1" x14ac:dyDescent="0.3">
      <c r="A37" s="158" t="s">
        <v>269</v>
      </c>
      <c r="B37" s="158"/>
      <c r="C37" s="158"/>
      <c r="D37" s="146" t="s">
        <v>270</v>
      </c>
      <c r="E37" s="146"/>
      <c r="F37" s="146"/>
      <c r="G37" s="146"/>
    </row>
    <row r="38" spans="1:7" ht="27.75" customHeight="1" x14ac:dyDescent="0.3">
      <c r="A38" s="158" t="s">
        <v>271</v>
      </c>
      <c r="B38" s="158"/>
      <c r="C38" s="158"/>
      <c r="D38" s="146" t="s">
        <v>272</v>
      </c>
      <c r="E38" s="146"/>
      <c r="F38" s="146"/>
      <c r="G38" s="146"/>
    </row>
    <row r="45" spans="1:7" x14ac:dyDescent="0.3">
      <c r="A45" t="s">
        <v>626</v>
      </c>
      <c r="B45" t="s">
        <v>627</v>
      </c>
      <c r="C45" t="s">
        <v>18</v>
      </c>
      <c r="D45" t="s">
        <v>628</v>
      </c>
      <c r="E45" t="s">
        <v>629</v>
      </c>
      <c r="F45" t="s">
        <v>630</v>
      </c>
      <c r="G45" t="s">
        <v>631</v>
      </c>
    </row>
    <row r="46" spans="1:7" x14ac:dyDescent="0.3">
      <c r="A46" t="s">
        <v>632</v>
      </c>
      <c r="B46" t="s">
        <v>633</v>
      </c>
      <c r="C46" t="s">
        <v>29</v>
      </c>
      <c r="D46" t="s">
        <v>634</v>
      </c>
      <c r="E46" t="s">
        <v>635</v>
      </c>
      <c r="F46" t="s">
        <v>636</v>
      </c>
      <c r="G46" t="s">
        <v>637</v>
      </c>
    </row>
    <row r="47" spans="1:7" x14ac:dyDescent="0.3">
      <c r="A47" t="s">
        <v>638</v>
      </c>
      <c r="B47" t="s">
        <v>639</v>
      </c>
      <c r="C47" t="s">
        <v>640</v>
      </c>
      <c r="D47" t="s">
        <v>641</v>
      </c>
      <c r="E47" t="s">
        <v>642</v>
      </c>
      <c r="F47" t="s">
        <v>643</v>
      </c>
      <c r="G47" t="s">
        <v>644</v>
      </c>
    </row>
    <row r="48" spans="1:7" x14ac:dyDescent="0.3">
      <c r="A48" t="s">
        <v>645</v>
      </c>
      <c r="B48" t="s">
        <v>646</v>
      </c>
      <c r="C48" t="s">
        <v>46</v>
      </c>
      <c r="D48" t="s">
        <v>647</v>
      </c>
      <c r="E48" t="s">
        <v>648</v>
      </c>
      <c r="F48" t="s">
        <v>649</v>
      </c>
      <c r="G48" t="s">
        <v>650</v>
      </c>
    </row>
    <row r="49" spans="1:7" x14ac:dyDescent="0.3">
      <c r="A49" t="s">
        <v>651</v>
      </c>
      <c r="B49" t="s">
        <v>652</v>
      </c>
      <c r="C49" t="s">
        <v>653</v>
      </c>
      <c r="D49" t="s">
        <v>654</v>
      </c>
      <c r="E49" t="s">
        <v>655</v>
      </c>
      <c r="F49" t="s">
        <v>656</v>
      </c>
      <c r="G49" t="s">
        <v>657</v>
      </c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H1"/>
    <mergeCell ref="A2:H2"/>
    <mergeCell ref="A30:H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6655"/>
  </sheetPr>
  <dimension ref="A1:L38"/>
  <sheetViews>
    <sheetView showGridLines="0" zoomScaleNormal="100" workbookViewId="0">
      <pane ySplit="3" topLeftCell="A4" activePane="bottomLeft" state="frozen"/>
      <selection pane="bottomLeft" activeCell="D15" sqref="D15"/>
    </sheetView>
  </sheetViews>
  <sheetFormatPr defaultColWidth="8.6640625" defaultRowHeight="14.4" x14ac:dyDescent="0.3"/>
  <cols>
    <col min="1" max="1" width="9" customWidth="1"/>
    <col min="2" max="2" width="14" customWidth="1"/>
    <col min="3" max="3" width="24.44140625" customWidth="1"/>
    <col min="4" max="4" width="16" customWidth="1"/>
    <col min="5" max="5" width="24.88671875" customWidth="1"/>
    <col min="6" max="7" width="18" customWidth="1"/>
    <col min="8" max="8" width="20" customWidth="1"/>
    <col min="11" max="11" width="23.33203125" customWidth="1"/>
  </cols>
  <sheetData>
    <row r="1" spans="1:12" ht="37.5" customHeight="1" x14ac:dyDescent="0.3">
      <c r="A1" s="159" t="s">
        <v>273</v>
      </c>
      <c r="B1" s="159"/>
      <c r="C1" s="159"/>
      <c r="D1" s="159"/>
      <c r="E1" s="159"/>
      <c r="F1" s="159"/>
      <c r="G1" s="159"/>
      <c r="H1" s="159"/>
    </row>
    <row r="2" spans="1:12" ht="30" customHeight="1" x14ac:dyDescent="0.3">
      <c r="A2" s="160" t="s">
        <v>274</v>
      </c>
      <c r="B2" s="160"/>
      <c r="C2" s="160"/>
      <c r="D2" s="160"/>
      <c r="E2" s="160"/>
      <c r="F2" s="160"/>
      <c r="G2" s="160"/>
      <c r="H2" s="160"/>
    </row>
    <row r="3" spans="1:12" ht="21.75" customHeight="1" x14ac:dyDescent="0.3">
      <c r="A3" s="23" t="s">
        <v>2</v>
      </c>
      <c r="B3" s="23" t="s">
        <v>12</v>
      </c>
      <c r="C3" s="23" t="s">
        <v>275</v>
      </c>
      <c r="D3" s="23" t="s">
        <v>276</v>
      </c>
      <c r="E3" s="23" t="s">
        <v>277</v>
      </c>
      <c r="F3" s="23" t="s">
        <v>278</v>
      </c>
      <c r="G3" s="23" t="s">
        <v>279</v>
      </c>
      <c r="H3" s="23" t="s">
        <v>280</v>
      </c>
    </row>
    <row r="4" spans="1:12" ht="15.75" customHeight="1" x14ac:dyDescent="0.3">
      <c r="A4" s="2" t="s">
        <v>17</v>
      </c>
      <c r="B4" s="24">
        <v>44451</v>
      </c>
      <c r="C4" s="25">
        <v>1643</v>
      </c>
      <c r="D4" s="26">
        <v>46094</v>
      </c>
      <c r="E4" s="27">
        <v>46094.727194444444</v>
      </c>
      <c r="F4" s="26">
        <v>44451</v>
      </c>
      <c r="G4" s="25">
        <v>-1403</v>
      </c>
      <c r="H4" s="25" t="s">
        <v>667</v>
      </c>
    </row>
    <row r="5" spans="1:12" ht="15.75" customHeight="1" x14ac:dyDescent="0.3">
      <c r="A5" s="5" t="s">
        <v>28</v>
      </c>
      <c r="B5" s="28">
        <v>44895</v>
      </c>
      <c r="C5" s="29">
        <v>1199</v>
      </c>
      <c r="D5" s="30">
        <v>46094</v>
      </c>
      <c r="E5" s="31">
        <v>46094.727194444444</v>
      </c>
      <c r="F5" s="30">
        <v>44895</v>
      </c>
      <c r="G5" s="29">
        <v>-845</v>
      </c>
      <c r="H5" s="29" t="s">
        <v>667</v>
      </c>
    </row>
    <row r="6" spans="1:12" ht="15.75" customHeight="1" thickBot="1" x14ac:dyDescent="0.35">
      <c r="A6" s="2" t="s">
        <v>37</v>
      </c>
      <c r="B6" s="24">
        <v>44744</v>
      </c>
      <c r="C6" s="25">
        <v>1350</v>
      </c>
      <c r="D6" s="26">
        <v>46094</v>
      </c>
      <c r="E6" s="27">
        <v>46094.727194444444</v>
      </c>
      <c r="F6" s="26">
        <v>44744</v>
      </c>
      <c r="G6" s="25">
        <v>-972</v>
      </c>
      <c r="H6" s="25" t="s">
        <v>667</v>
      </c>
    </row>
    <row r="7" spans="1:12" ht="15.75" customHeight="1" thickBot="1" x14ac:dyDescent="0.35">
      <c r="A7" s="5" t="s">
        <v>45</v>
      </c>
      <c r="B7" s="28">
        <v>44378</v>
      </c>
      <c r="C7" s="29">
        <v>1716</v>
      </c>
      <c r="D7" s="30">
        <v>46094</v>
      </c>
      <c r="E7" s="31">
        <v>46094.727194444444</v>
      </c>
      <c r="F7" s="30">
        <v>44378</v>
      </c>
      <c r="G7" s="29">
        <v>-1051</v>
      </c>
      <c r="H7" s="29" t="s">
        <v>667</v>
      </c>
      <c r="K7" s="23" t="s">
        <v>279</v>
      </c>
      <c r="L7" t="s">
        <v>672</v>
      </c>
    </row>
    <row r="8" spans="1:12" ht="15.75" customHeight="1" thickBot="1" x14ac:dyDescent="0.35">
      <c r="A8" s="2" t="s">
        <v>54</v>
      </c>
      <c r="B8" s="24">
        <v>44534</v>
      </c>
      <c r="C8" s="25">
        <v>1560</v>
      </c>
      <c r="D8" s="26">
        <v>46094</v>
      </c>
      <c r="E8" s="27">
        <v>46094.727194444444</v>
      </c>
      <c r="F8" s="26">
        <v>44534</v>
      </c>
      <c r="G8" s="25">
        <v>-1094</v>
      </c>
      <c r="H8" s="25" t="s">
        <v>667</v>
      </c>
    </row>
    <row r="9" spans="1:12" ht="15.75" customHeight="1" thickBot="1" x14ac:dyDescent="0.35">
      <c r="A9" s="5" t="s">
        <v>60</v>
      </c>
      <c r="B9" s="28">
        <v>45081</v>
      </c>
      <c r="C9" s="29">
        <v>1013</v>
      </c>
      <c r="D9" s="30">
        <v>46094</v>
      </c>
      <c r="E9" s="31">
        <v>46094.727194444444</v>
      </c>
      <c r="F9" s="30">
        <v>45081</v>
      </c>
      <c r="G9" s="29">
        <v>89</v>
      </c>
      <c r="H9" s="29" t="s">
        <v>25</v>
      </c>
      <c r="K9" s="23" t="s">
        <v>280</v>
      </c>
      <c r="L9" t="s">
        <v>668</v>
      </c>
    </row>
    <row r="10" spans="1:12" ht="15.75" customHeight="1" x14ac:dyDescent="0.3">
      <c r="A10" s="2" t="s">
        <v>70</v>
      </c>
      <c r="B10" s="24">
        <v>44708</v>
      </c>
      <c r="C10" s="25">
        <v>1386</v>
      </c>
      <c r="D10" s="26">
        <v>46094</v>
      </c>
      <c r="E10" s="27">
        <v>46094.727194444444</v>
      </c>
      <c r="F10" s="26">
        <v>44708</v>
      </c>
      <c r="G10" s="25">
        <v>-956</v>
      </c>
      <c r="H10" s="25" t="s">
        <v>667</v>
      </c>
      <c r="L10" s="136" t="s">
        <v>669</v>
      </c>
    </row>
    <row r="11" spans="1:12" ht="15.75" customHeight="1" x14ac:dyDescent="0.3">
      <c r="A11" s="5" t="s">
        <v>79</v>
      </c>
      <c r="B11" s="28">
        <v>44605</v>
      </c>
      <c r="C11" s="29">
        <v>1489</v>
      </c>
      <c r="D11" s="30">
        <v>46094</v>
      </c>
      <c r="E11" s="31">
        <v>46094.727194444444</v>
      </c>
      <c r="F11" s="30">
        <v>44605</v>
      </c>
      <c r="G11" s="29">
        <v>-822</v>
      </c>
      <c r="H11" s="29" t="s">
        <v>667</v>
      </c>
      <c r="L11" s="136" t="s">
        <v>670</v>
      </c>
    </row>
    <row r="12" spans="1:12" ht="15.75" customHeight="1" x14ac:dyDescent="0.3">
      <c r="A12" s="2" t="s">
        <v>85</v>
      </c>
      <c r="B12" s="24">
        <v>44305</v>
      </c>
      <c r="C12" s="25"/>
      <c r="D12" s="26"/>
      <c r="E12" s="27"/>
      <c r="F12" s="26"/>
      <c r="G12" s="25"/>
      <c r="H12" s="25"/>
      <c r="L12" s="136" t="s">
        <v>671</v>
      </c>
    </row>
    <row r="13" spans="1:12" ht="15.75" customHeight="1" x14ac:dyDescent="0.3">
      <c r="A13" s="5" t="s">
        <v>92</v>
      </c>
      <c r="B13" s="28">
        <v>45004</v>
      </c>
      <c r="C13" s="29"/>
      <c r="D13" s="30"/>
      <c r="E13" s="31"/>
      <c r="F13" s="30"/>
      <c r="G13" s="29"/>
      <c r="H13" s="29"/>
    </row>
    <row r="14" spans="1:12" ht="15.75" customHeight="1" x14ac:dyDescent="0.3">
      <c r="A14" s="2" t="s">
        <v>97</v>
      </c>
      <c r="B14" s="24">
        <v>44399</v>
      </c>
      <c r="C14" s="25"/>
      <c r="D14" s="26"/>
      <c r="E14" s="27"/>
      <c r="F14" s="26"/>
      <c r="G14" s="25"/>
      <c r="H14" s="25"/>
      <c r="L14" s="136"/>
    </row>
    <row r="15" spans="1:12" ht="15.75" customHeight="1" x14ac:dyDescent="0.3">
      <c r="A15" s="5" t="s">
        <v>103</v>
      </c>
      <c r="B15" s="28">
        <v>44741</v>
      </c>
      <c r="C15" s="29"/>
      <c r="D15" s="30"/>
      <c r="E15" s="31"/>
      <c r="F15" s="30"/>
      <c r="G15" s="29"/>
      <c r="H15" s="29"/>
    </row>
    <row r="16" spans="1:12" ht="15.75" customHeight="1" x14ac:dyDescent="0.3">
      <c r="A16" s="2" t="s">
        <v>109</v>
      </c>
      <c r="B16" s="24">
        <v>44304</v>
      </c>
      <c r="C16" s="25"/>
      <c r="D16" s="26"/>
      <c r="E16" s="27"/>
      <c r="F16" s="26"/>
      <c r="G16" s="25"/>
      <c r="H16" s="25"/>
    </row>
    <row r="17" spans="1:8" ht="15.75" customHeight="1" x14ac:dyDescent="0.3">
      <c r="A17" s="5" t="s">
        <v>115</v>
      </c>
      <c r="B17" s="28">
        <v>44468</v>
      </c>
      <c r="C17" s="29"/>
      <c r="D17" s="30"/>
      <c r="E17" s="31"/>
      <c r="F17" s="30"/>
      <c r="G17" s="29"/>
      <c r="H17" s="29"/>
    </row>
    <row r="18" spans="1:8" ht="15.75" customHeight="1" x14ac:dyDescent="0.3">
      <c r="A18" s="2" t="s">
        <v>120</v>
      </c>
      <c r="B18" s="24">
        <v>44687</v>
      </c>
      <c r="C18" s="25"/>
      <c r="D18" s="26"/>
      <c r="E18" s="27"/>
      <c r="F18" s="26"/>
      <c r="G18" s="25"/>
      <c r="H18" s="25"/>
    </row>
    <row r="19" spans="1:8" ht="15.75" customHeight="1" x14ac:dyDescent="0.3">
      <c r="A19" s="5" t="s">
        <v>127</v>
      </c>
      <c r="B19" s="28">
        <v>44780</v>
      </c>
      <c r="C19" s="29"/>
      <c r="D19" s="30"/>
      <c r="E19" s="31"/>
      <c r="F19" s="30"/>
      <c r="G19" s="29"/>
      <c r="H19" s="29"/>
    </row>
    <row r="20" spans="1:8" ht="15.75" customHeight="1" x14ac:dyDescent="0.3">
      <c r="A20" s="2" t="s">
        <v>132</v>
      </c>
      <c r="B20" s="24">
        <v>44765</v>
      </c>
      <c r="C20" s="25"/>
      <c r="D20" s="26"/>
      <c r="E20" s="27"/>
      <c r="F20" s="26"/>
      <c r="G20" s="25"/>
      <c r="H20" s="25"/>
    </row>
    <row r="21" spans="1:8" ht="15.75" customHeight="1" x14ac:dyDescent="0.3">
      <c r="A21" s="5" t="s">
        <v>137</v>
      </c>
      <c r="B21" s="28">
        <v>44915</v>
      </c>
      <c r="C21" s="29"/>
      <c r="D21" s="30"/>
      <c r="E21" s="31"/>
      <c r="F21" s="30"/>
      <c r="G21" s="29"/>
      <c r="H21" s="29"/>
    </row>
    <row r="22" spans="1:8" ht="15.75" customHeight="1" x14ac:dyDescent="0.3">
      <c r="A22" s="2" t="s">
        <v>142</v>
      </c>
      <c r="B22" s="24">
        <v>44931</v>
      </c>
      <c r="C22" s="25"/>
      <c r="D22" s="26"/>
      <c r="E22" s="27"/>
      <c r="F22" s="26"/>
      <c r="G22" s="25"/>
      <c r="H22" s="25"/>
    </row>
    <row r="23" spans="1:8" ht="15.75" customHeight="1" x14ac:dyDescent="0.3">
      <c r="A23" s="5" t="s">
        <v>147</v>
      </c>
      <c r="B23" s="28">
        <v>44730</v>
      </c>
      <c r="C23" s="29"/>
      <c r="D23" s="30"/>
      <c r="E23" s="31"/>
      <c r="F23" s="30"/>
      <c r="G23" s="29"/>
      <c r="H23" s="29"/>
    </row>
    <row r="24" spans="1:8" ht="15.75" customHeight="1" x14ac:dyDescent="0.3">
      <c r="A24" s="2" t="s">
        <v>152</v>
      </c>
      <c r="B24" s="24">
        <v>44456</v>
      </c>
      <c r="C24" s="25"/>
      <c r="D24" s="26"/>
      <c r="E24" s="27"/>
      <c r="F24" s="26"/>
      <c r="G24" s="25"/>
      <c r="H24" s="25"/>
    </row>
    <row r="25" spans="1:8" ht="15.75" customHeight="1" x14ac:dyDescent="0.3">
      <c r="A25" s="5" t="s">
        <v>157</v>
      </c>
      <c r="B25" s="28">
        <v>45017</v>
      </c>
      <c r="C25" s="29"/>
      <c r="D25" s="30"/>
      <c r="E25" s="31"/>
      <c r="F25" s="30"/>
      <c r="G25" s="29"/>
      <c r="H25" s="29"/>
    </row>
    <row r="26" spans="1:8" ht="15.75" customHeight="1" x14ac:dyDescent="0.3">
      <c r="A26" s="2" t="s">
        <v>162</v>
      </c>
      <c r="B26" s="24">
        <v>44979</v>
      </c>
      <c r="C26" s="25"/>
      <c r="D26" s="26"/>
      <c r="E26" s="27"/>
      <c r="F26" s="26"/>
      <c r="G26" s="25"/>
      <c r="H26" s="25"/>
    </row>
    <row r="27" spans="1:8" ht="15.75" customHeight="1" x14ac:dyDescent="0.3">
      <c r="A27" s="5" t="s">
        <v>167</v>
      </c>
      <c r="B27" s="28">
        <v>44226</v>
      </c>
      <c r="C27" s="29"/>
      <c r="D27" s="30"/>
      <c r="E27" s="31"/>
      <c r="F27" s="30"/>
      <c r="G27" s="29"/>
      <c r="H27" s="29"/>
    </row>
    <row r="28" spans="1:8" ht="15.75" customHeight="1" x14ac:dyDescent="0.3">
      <c r="A28" s="2" t="s">
        <v>172</v>
      </c>
      <c r="B28" s="24">
        <v>44799</v>
      </c>
      <c r="C28" s="25"/>
      <c r="D28" s="26"/>
      <c r="E28" s="27"/>
      <c r="F28" s="26"/>
      <c r="G28" s="25"/>
      <c r="H28" s="25"/>
    </row>
    <row r="30" spans="1:8" ht="25.5" customHeight="1" x14ac:dyDescent="0.3">
      <c r="A30" s="161" t="s">
        <v>185</v>
      </c>
      <c r="B30" s="161"/>
      <c r="C30" s="161"/>
      <c r="D30" s="161"/>
      <c r="E30" s="161"/>
      <c r="F30" s="161"/>
      <c r="G30" s="161"/>
      <c r="H30" s="161"/>
    </row>
    <row r="31" spans="1:8" ht="27.75" customHeight="1" x14ac:dyDescent="0.3">
      <c r="A31" s="162" t="s">
        <v>281</v>
      </c>
      <c r="B31" s="162"/>
      <c r="C31" s="162"/>
      <c r="D31" s="146" t="s">
        <v>282</v>
      </c>
      <c r="E31" s="146"/>
      <c r="F31" s="146"/>
      <c r="G31" s="146"/>
    </row>
    <row r="32" spans="1:8" ht="27.75" customHeight="1" x14ac:dyDescent="0.3">
      <c r="A32" s="162" t="s">
        <v>283</v>
      </c>
      <c r="B32" s="162"/>
      <c r="C32" s="162"/>
      <c r="D32" s="146" t="s">
        <v>284</v>
      </c>
      <c r="E32" s="146"/>
      <c r="F32" s="146"/>
      <c r="G32" s="146"/>
    </row>
    <row r="33" spans="1:7" ht="27.75" customHeight="1" x14ac:dyDescent="0.3">
      <c r="A33" s="162" t="s">
        <v>285</v>
      </c>
      <c r="B33" s="162"/>
      <c r="C33" s="162"/>
      <c r="D33" s="146" t="s">
        <v>286</v>
      </c>
      <c r="E33" s="146"/>
      <c r="F33" s="146"/>
      <c r="G33" s="146"/>
    </row>
    <row r="34" spans="1:7" ht="27.75" customHeight="1" x14ac:dyDescent="0.3">
      <c r="A34" s="162" t="s">
        <v>287</v>
      </c>
      <c r="B34" s="162"/>
      <c r="C34" s="162"/>
      <c r="D34" s="146" t="s">
        <v>288</v>
      </c>
      <c r="E34" s="146"/>
      <c r="F34" s="146"/>
      <c r="G34" s="146"/>
    </row>
    <row r="35" spans="1:7" ht="27.75" customHeight="1" x14ac:dyDescent="0.3">
      <c r="A35" s="162" t="s">
        <v>289</v>
      </c>
      <c r="B35" s="162"/>
      <c r="C35" s="162"/>
      <c r="D35" s="146" t="s">
        <v>290</v>
      </c>
      <c r="E35" s="146"/>
      <c r="F35" s="146"/>
      <c r="G35" s="146"/>
    </row>
    <row r="36" spans="1:7" ht="27.75" customHeight="1" x14ac:dyDescent="0.3">
      <c r="A36" s="162" t="s">
        <v>291</v>
      </c>
      <c r="B36" s="162"/>
      <c r="C36" s="162"/>
      <c r="D36" s="146" t="s">
        <v>292</v>
      </c>
      <c r="E36" s="146"/>
      <c r="F36" s="146"/>
      <c r="G36" s="146"/>
    </row>
    <row r="37" spans="1:7" ht="27.75" customHeight="1" x14ac:dyDescent="0.3">
      <c r="A37" s="162" t="s">
        <v>293</v>
      </c>
      <c r="B37" s="162"/>
      <c r="C37" s="162"/>
      <c r="D37" s="146" t="s">
        <v>294</v>
      </c>
      <c r="E37" s="146"/>
      <c r="F37" s="146"/>
      <c r="G37" s="146"/>
    </row>
    <row r="38" spans="1:7" ht="27.75" customHeight="1" x14ac:dyDescent="0.3">
      <c r="A38" s="162" t="s">
        <v>295</v>
      </c>
      <c r="B38" s="162"/>
      <c r="C38" s="162"/>
      <c r="D38" s="146" t="s">
        <v>296</v>
      </c>
      <c r="E38" s="146"/>
      <c r="F38" s="146"/>
      <c r="G38" s="146"/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H1"/>
    <mergeCell ref="A2:H2"/>
    <mergeCell ref="A30:H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3593"/>
  </sheetPr>
  <dimension ref="A1:H38"/>
  <sheetViews>
    <sheetView showGridLines="0" zoomScaleNormal="100" workbookViewId="0">
      <pane ySplit="3" topLeftCell="A4" activePane="bottomLeft" state="frozen"/>
      <selection pane="bottomLeft" activeCell="E6" sqref="E6"/>
    </sheetView>
  </sheetViews>
  <sheetFormatPr defaultColWidth="8.6640625" defaultRowHeight="14.4" x14ac:dyDescent="0.3"/>
  <cols>
    <col min="1" max="1" width="9" customWidth="1"/>
    <col min="2" max="2" width="14" customWidth="1"/>
    <col min="3" max="5" width="9" customWidth="1"/>
    <col min="6" max="6" width="18.77734375" customWidth="1"/>
    <col min="7" max="7" width="14" customWidth="1"/>
    <col min="8" max="8" width="16" customWidth="1"/>
  </cols>
  <sheetData>
    <row r="1" spans="1:8" ht="37.5" customHeight="1" x14ac:dyDescent="0.3">
      <c r="A1" s="163" t="s">
        <v>297</v>
      </c>
      <c r="B1" s="163"/>
      <c r="C1" s="163"/>
      <c r="D1" s="163"/>
      <c r="E1" s="163"/>
      <c r="F1" s="163"/>
      <c r="G1" s="163"/>
      <c r="H1" s="163"/>
    </row>
    <row r="2" spans="1:8" ht="30" customHeight="1" x14ac:dyDescent="0.3">
      <c r="A2" s="164" t="s">
        <v>298</v>
      </c>
      <c r="B2" s="164"/>
      <c r="C2" s="164"/>
      <c r="D2" s="164"/>
      <c r="E2" s="164"/>
      <c r="F2" s="164"/>
      <c r="G2" s="164"/>
      <c r="H2" s="164"/>
    </row>
    <row r="3" spans="1:8" ht="21.75" customHeight="1" x14ac:dyDescent="0.3">
      <c r="A3" s="32" t="s">
        <v>2</v>
      </c>
      <c r="B3" s="32" t="s">
        <v>12</v>
      </c>
      <c r="C3" s="32" t="s">
        <v>299</v>
      </c>
      <c r="D3" s="32" t="s">
        <v>300</v>
      </c>
      <c r="E3" s="32" t="s">
        <v>301</v>
      </c>
      <c r="F3" s="32" t="s">
        <v>302</v>
      </c>
      <c r="G3" s="32" t="s">
        <v>303</v>
      </c>
      <c r="H3" s="32" t="s">
        <v>304</v>
      </c>
    </row>
    <row r="4" spans="1:8" ht="15.75" customHeight="1" x14ac:dyDescent="0.3">
      <c r="A4" s="2" t="s">
        <v>17</v>
      </c>
      <c r="B4" s="24">
        <v>44451</v>
      </c>
      <c r="C4" s="33">
        <v>2021</v>
      </c>
      <c r="D4" s="33">
        <v>9</v>
      </c>
      <c r="E4" s="33">
        <v>12</v>
      </c>
      <c r="F4" s="33">
        <v>7</v>
      </c>
      <c r="G4" s="33">
        <v>37</v>
      </c>
      <c r="H4" s="33" t="s">
        <v>658</v>
      </c>
    </row>
    <row r="5" spans="1:8" ht="15.75" customHeight="1" x14ac:dyDescent="0.3">
      <c r="A5" s="5" t="s">
        <v>28</v>
      </c>
      <c r="B5" s="28">
        <v>44895</v>
      </c>
      <c r="C5" s="34">
        <v>2022</v>
      </c>
      <c r="D5" s="34">
        <v>11</v>
      </c>
      <c r="E5" s="34">
        <v>30</v>
      </c>
      <c r="F5" s="34">
        <v>3</v>
      </c>
      <c r="G5" s="34">
        <v>49</v>
      </c>
      <c r="H5" s="34" t="s">
        <v>659</v>
      </c>
    </row>
    <row r="6" spans="1:8" ht="15.75" customHeight="1" x14ac:dyDescent="0.3">
      <c r="A6" s="2" t="s">
        <v>37</v>
      </c>
      <c r="B6" s="24">
        <v>44744</v>
      </c>
      <c r="C6" s="33">
        <v>2022</v>
      </c>
      <c r="D6" s="33">
        <v>7</v>
      </c>
      <c r="E6" s="33">
        <v>2</v>
      </c>
      <c r="F6" s="33">
        <v>6</v>
      </c>
      <c r="G6" s="33">
        <v>27</v>
      </c>
      <c r="H6" s="33" t="s">
        <v>660</v>
      </c>
    </row>
    <row r="7" spans="1:8" ht="15.75" customHeight="1" x14ac:dyDescent="0.3">
      <c r="A7" s="5" t="s">
        <v>45</v>
      </c>
      <c r="B7" s="28">
        <v>44378</v>
      </c>
      <c r="C7" s="34">
        <v>2021</v>
      </c>
      <c r="D7" s="34">
        <v>7</v>
      </c>
      <c r="E7" s="34">
        <v>1</v>
      </c>
      <c r="F7" s="34">
        <v>4</v>
      </c>
      <c r="G7" s="34">
        <v>27</v>
      </c>
      <c r="H7" s="34" t="s">
        <v>658</v>
      </c>
    </row>
    <row r="8" spans="1:8" ht="15.75" customHeight="1" x14ac:dyDescent="0.3">
      <c r="A8" s="2" t="s">
        <v>54</v>
      </c>
      <c r="B8" s="24">
        <v>44534</v>
      </c>
      <c r="C8" s="33"/>
      <c r="D8" s="33"/>
      <c r="E8" s="33"/>
      <c r="F8" s="33"/>
      <c r="G8" s="33"/>
      <c r="H8" s="33"/>
    </row>
    <row r="9" spans="1:8" ht="15.75" customHeight="1" x14ac:dyDescent="0.3">
      <c r="A9" s="5" t="s">
        <v>60</v>
      </c>
      <c r="B9" s="28">
        <v>45081</v>
      </c>
      <c r="C9" s="34"/>
      <c r="D9" s="34"/>
      <c r="E9" s="34"/>
      <c r="F9" s="34"/>
      <c r="G9" s="34"/>
      <c r="H9" s="34"/>
    </row>
    <row r="10" spans="1:8" ht="15.75" customHeight="1" x14ac:dyDescent="0.3">
      <c r="A10" s="2" t="s">
        <v>70</v>
      </c>
      <c r="B10" s="24">
        <v>44708</v>
      </c>
      <c r="C10" s="33"/>
      <c r="D10" s="33"/>
      <c r="E10" s="33"/>
      <c r="F10" s="33"/>
      <c r="G10" s="33"/>
      <c r="H10" s="33"/>
    </row>
    <row r="11" spans="1:8" ht="15.75" customHeight="1" x14ac:dyDescent="0.3">
      <c r="A11" s="5" t="s">
        <v>79</v>
      </c>
      <c r="B11" s="28">
        <v>44605</v>
      </c>
      <c r="C11" s="34"/>
      <c r="D11" s="34"/>
      <c r="E11" s="34"/>
      <c r="F11" s="34"/>
      <c r="G11" s="34"/>
      <c r="H11" s="34"/>
    </row>
    <row r="12" spans="1:8" ht="15.75" customHeight="1" x14ac:dyDescent="0.3">
      <c r="A12" s="2" t="s">
        <v>85</v>
      </c>
      <c r="B12" s="24">
        <v>44305</v>
      </c>
      <c r="C12" s="33"/>
      <c r="D12" s="33"/>
      <c r="E12" s="33"/>
      <c r="F12" s="33"/>
      <c r="G12" s="33"/>
      <c r="H12" s="33"/>
    </row>
    <row r="13" spans="1:8" ht="15.75" customHeight="1" x14ac:dyDescent="0.3">
      <c r="A13" s="5" t="s">
        <v>92</v>
      </c>
      <c r="B13" s="28">
        <v>45004</v>
      </c>
      <c r="C13" s="34"/>
      <c r="D13" s="34"/>
      <c r="E13" s="34"/>
      <c r="F13" s="34"/>
      <c r="G13" s="34"/>
      <c r="H13" s="34"/>
    </row>
    <row r="14" spans="1:8" ht="15.75" customHeight="1" x14ac:dyDescent="0.3">
      <c r="A14" s="2" t="s">
        <v>97</v>
      </c>
      <c r="B14" s="24">
        <v>44399</v>
      </c>
      <c r="C14" s="33"/>
      <c r="D14" s="33"/>
      <c r="E14" s="33"/>
      <c r="F14" s="33"/>
      <c r="G14" s="33"/>
      <c r="H14" s="33"/>
    </row>
    <row r="15" spans="1:8" ht="15.75" customHeight="1" x14ac:dyDescent="0.3">
      <c r="A15" s="5" t="s">
        <v>103</v>
      </c>
      <c r="B15" s="28">
        <v>44741</v>
      </c>
      <c r="C15" s="34"/>
      <c r="D15" s="34"/>
      <c r="E15" s="34"/>
      <c r="F15" s="34"/>
      <c r="G15" s="34"/>
      <c r="H15" s="34"/>
    </row>
    <row r="16" spans="1:8" ht="15.75" customHeight="1" x14ac:dyDescent="0.3">
      <c r="A16" s="2" t="s">
        <v>109</v>
      </c>
      <c r="B16" s="24">
        <v>44304</v>
      </c>
      <c r="C16" s="33"/>
      <c r="D16" s="33"/>
      <c r="E16" s="33"/>
      <c r="F16" s="33"/>
      <c r="G16" s="33"/>
      <c r="H16" s="33"/>
    </row>
    <row r="17" spans="1:8" ht="15.75" customHeight="1" x14ac:dyDescent="0.3">
      <c r="A17" s="5" t="s">
        <v>115</v>
      </c>
      <c r="B17" s="28">
        <v>44468</v>
      </c>
      <c r="C17" s="34"/>
      <c r="D17" s="34"/>
      <c r="E17" s="34"/>
      <c r="F17" s="34"/>
      <c r="G17" s="34"/>
      <c r="H17" s="34"/>
    </row>
    <row r="18" spans="1:8" ht="15.75" customHeight="1" x14ac:dyDescent="0.3">
      <c r="A18" s="2" t="s">
        <v>120</v>
      </c>
      <c r="B18" s="24">
        <v>44687</v>
      </c>
      <c r="C18" s="33"/>
      <c r="D18" s="33"/>
      <c r="E18" s="33"/>
      <c r="F18" s="33"/>
      <c r="G18" s="33"/>
      <c r="H18" s="33"/>
    </row>
    <row r="19" spans="1:8" ht="15.75" customHeight="1" x14ac:dyDescent="0.3">
      <c r="A19" s="5" t="s">
        <v>127</v>
      </c>
      <c r="B19" s="28">
        <v>44780</v>
      </c>
      <c r="C19" s="34"/>
      <c r="D19" s="34"/>
      <c r="E19" s="34"/>
      <c r="F19" s="34"/>
      <c r="G19" s="34"/>
      <c r="H19" s="34"/>
    </row>
    <row r="20" spans="1:8" ht="15.75" customHeight="1" x14ac:dyDescent="0.3">
      <c r="A20" s="2" t="s">
        <v>132</v>
      </c>
      <c r="B20" s="24">
        <v>44765</v>
      </c>
      <c r="C20" s="33"/>
      <c r="D20" s="33"/>
      <c r="E20" s="33"/>
      <c r="F20" s="33"/>
      <c r="G20" s="33"/>
      <c r="H20" s="33"/>
    </row>
    <row r="21" spans="1:8" ht="15.75" customHeight="1" x14ac:dyDescent="0.3">
      <c r="A21" s="5" t="s">
        <v>137</v>
      </c>
      <c r="B21" s="28">
        <v>44915</v>
      </c>
      <c r="C21" s="34"/>
      <c r="D21" s="34"/>
      <c r="E21" s="34"/>
      <c r="F21" s="34"/>
      <c r="G21" s="34"/>
      <c r="H21" s="34"/>
    </row>
    <row r="22" spans="1:8" ht="15.75" customHeight="1" x14ac:dyDescent="0.3">
      <c r="A22" s="2" t="s">
        <v>142</v>
      </c>
      <c r="B22" s="24">
        <v>44931</v>
      </c>
      <c r="C22" s="33"/>
      <c r="D22" s="33"/>
      <c r="E22" s="33"/>
      <c r="F22" s="33"/>
      <c r="G22" s="33"/>
      <c r="H22" s="33"/>
    </row>
    <row r="23" spans="1:8" ht="15.75" customHeight="1" x14ac:dyDescent="0.3">
      <c r="A23" s="5" t="s">
        <v>147</v>
      </c>
      <c r="B23" s="28">
        <v>44730</v>
      </c>
      <c r="C23" s="34"/>
      <c r="D23" s="34"/>
      <c r="E23" s="34"/>
      <c r="F23" s="34"/>
      <c r="G23" s="34"/>
      <c r="H23" s="34"/>
    </row>
    <row r="24" spans="1:8" ht="15.75" customHeight="1" x14ac:dyDescent="0.3">
      <c r="A24" s="2" t="s">
        <v>152</v>
      </c>
      <c r="B24" s="24">
        <v>44456</v>
      </c>
      <c r="C24" s="33"/>
      <c r="D24" s="33"/>
      <c r="E24" s="33"/>
      <c r="F24" s="33"/>
      <c r="G24" s="33"/>
      <c r="H24" s="33"/>
    </row>
    <row r="25" spans="1:8" ht="15.75" customHeight="1" x14ac:dyDescent="0.3">
      <c r="A25" s="5" t="s">
        <v>157</v>
      </c>
      <c r="B25" s="28">
        <v>45017</v>
      </c>
      <c r="C25" s="34"/>
      <c r="D25" s="34"/>
      <c r="E25" s="34"/>
      <c r="F25" s="34"/>
      <c r="G25" s="34"/>
      <c r="H25" s="34"/>
    </row>
    <row r="26" spans="1:8" ht="15.75" customHeight="1" x14ac:dyDescent="0.3">
      <c r="A26" s="2" t="s">
        <v>162</v>
      </c>
      <c r="B26" s="24">
        <v>44979</v>
      </c>
      <c r="C26" s="33"/>
      <c r="D26" s="33"/>
      <c r="E26" s="33"/>
      <c r="F26" s="33"/>
      <c r="G26" s="33"/>
      <c r="H26" s="33"/>
    </row>
    <row r="27" spans="1:8" ht="15.75" customHeight="1" x14ac:dyDescent="0.3">
      <c r="A27" s="5" t="s">
        <v>167</v>
      </c>
      <c r="B27" s="28">
        <v>44226</v>
      </c>
      <c r="C27" s="34"/>
      <c r="D27" s="34"/>
      <c r="E27" s="34"/>
      <c r="F27" s="34"/>
      <c r="G27" s="34"/>
      <c r="H27" s="34"/>
    </row>
    <row r="28" spans="1:8" ht="15.75" customHeight="1" x14ac:dyDescent="0.3">
      <c r="A28" s="2" t="s">
        <v>172</v>
      </c>
      <c r="B28" s="24">
        <v>44799</v>
      </c>
      <c r="C28" s="33"/>
      <c r="D28" s="33"/>
      <c r="E28" s="33"/>
      <c r="F28" s="33"/>
      <c r="G28" s="33"/>
      <c r="H28" s="33"/>
    </row>
    <row r="30" spans="1:8" ht="25.5" customHeight="1" x14ac:dyDescent="0.3">
      <c r="A30" s="165" t="s">
        <v>185</v>
      </c>
      <c r="B30" s="165"/>
      <c r="C30" s="165"/>
      <c r="D30" s="165"/>
      <c r="E30" s="165"/>
      <c r="F30" s="165"/>
      <c r="G30" s="165"/>
      <c r="H30" s="165"/>
    </row>
    <row r="31" spans="1:8" ht="27.75" customHeight="1" x14ac:dyDescent="0.3">
      <c r="A31" s="166" t="s">
        <v>305</v>
      </c>
      <c r="B31" s="166"/>
      <c r="C31" s="166"/>
      <c r="D31" s="146" t="s">
        <v>306</v>
      </c>
      <c r="E31" s="146"/>
      <c r="F31" s="146"/>
      <c r="G31" s="146"/>
    </row>
    <row r="32" spans="1:8" ht="27.75" customHeight="1" x14ac:dyDescent="0.3">
      <c r="A32" s="166" t="s">
        <v>307</v>
      </c>
      <c r="B32" s="166"/>
      <c r="C32" s="166"/>
      <c r="D32" s="146" t="s">
        <v>308</v>
      </c>
      <c r="E32" s="146"/>
      <c r="F32" s="146"/>
      <c r="G32" s="146"/>
    </row>
    <row r="33" spans="1:7" ht="27.75" customHeight="1" x14ac:dyDescent="0.3">
      <c r="A33" s="166" t="s">
        <v>309</v>
      </c>
      <c r="B33" s="166"/>
      <c r="C33" s="166"/>
      <c r="D33" s="146" t="s">
        <v>310</v>
      </c>
      <c r="E33" s="146"/>
      <c r="F33" s="146"/>
      <c r="G33" s="146"/>
    </row>
    <row r="34" spans="1:7" ht="27.75" customHeight="1" x14ac:dyDescent="0.3">
      <c r="A34" s="166" t="s">
        <v>311</v>
      </c>
      <c r="B34" s="166"/>
      <c r="C34" s="166"/>
      <c r="D34" s="146" t="s">
        <v>312</v>
      </c>
      <c r="E34" s="146"/>
      <c r="F34" s="146"/>
      <c r="G34" s="146"/>
    </row>
    <row r="35" spans="1:7" ht="27.75" customHeight="1" x14ac:dyDescent="0.3">
      <c r="A35" s="166" t="s">
        <v>313</v>
      </c>
      <c r="B35" s="166"/>
      <c r="C35" s="166"/>
      <c r="D35" s="146" t="s">
        <v>314</v>
      </c>
      <c r="E35" s="146"/>
      <c r="F35" s="146"/>
      <c r="G35" s="146"/>
    </row>
    <row r="36" spans="1:7" ht="27.75" customHeight="1" x14ac:dyDescent="0.3">
      <c r="A36" s="166" t="s">
        <v>315</v>
      </c>
      <c r="B36" s="166"/>
      <c r="C36" s="166"/>
      <c r="D36" s="146" t="s">
        <v>316</v>
      </c>
      <c r="E36" s="146"/>
      <c r="F36" s="146"/>
      <c r="G36" s="146"/>
    </row>
    <row r="37" spans="1:7" ht="27.75" customHeight="1" x14ac:dyDescent="0.3">
      <c r="A37" s="166" t="s">
        <v>317</v>
      </c>
      <c r="B37" s="166"/>
      <c r="C37" s="166"/>
      <c r="D37" s="146" t="s">
        <v>318</v>
      </c>
      <c r="E37" s="146"/>
      <c r="F37" s="146"/>
      <c r="G37" s="146"/>
    </row>
    <row r="38" spans="1:7" ht="27.75" customHeight="1" x14ac:dyDescent="0.3">
      <c r="A38" s="166" t="s">
        <v>319</v>
      </c>
      <c r="B38" s="166"/>
      <c r="C38" s="166"/>
      <c r="D38" s="146" t="s">
        <v>320</v>
      </c>
      <c r="E38" s="146"/>
      <c r="F38" s="146"/>
      <c r="G38" s="146"/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H1"/>
    <mergeCell ref="A2:H2"/>
    <mergeCell ref="A30:H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E2F1A"/>
  </sheetPr>
  <dimension ref="A1:H38"/>
  <sheetViews>
    <sheetView showGridLines="0" zoomScaleNormal="100" workbookViewId="0">
      <pane ySplit="3" topLeftCell="A4" activePane="bottomLeft" state="frozen"/>
      <selection pane="bottomLeft" activeCell="E6" sqref="E6"/>
    </sheetView>
  </sheetViews>
  <sheetFormatPr defaultColWidth="8.6640625" defaultRowHeight="14.4" x14ac:dyDescent="0.3"/>
  <cols>
    <col min="1" max="1" width="9" customWidth="1"/>
    <col min="2" max="3" width="13" customWidth="1"/>
    <col min="4" max="4" width="19.21875" customWidth="1"/>
    <col min="5" max="5" width="20.5546875" customWidth="1"/>
    <col min="6" max="7" width="16" customWidth="1"/>
    <col min="8" max="8" width="24.21875" customWidth="1"/>
  </cols>
  <sheetData>
    <row r="1" spans="1:8" ht="37.5" customHeight="1" x14ac:dyDescent="0.3">
      <c r="A1" s="167" t="s">
        <v>321</v>
      </c>
      <c r="B1" s="167"/>
      <c r="C1" s="167"/>
      <c r="D1" s="167"/>
      <c r="E1" s="167"/>
      <c r="F1" s="167"/>
      <c r="G1" s="167"/>
      <c r="H1" s="167"/>
    </row>
    <row r="2" spans="1:8" ht="30" customHeight="1" x14ac:dyDescent="0.3">
      <c r="A2" s="168" t="s">
        <v>322</v>
      </c>
      <c r="B2" s="168"/>
      <c r="C2" s="168"/>
      <c r="D2" s="168"/>
      <c r="E2" s="168"/>
      <c r="F2" s="168"/>
      <c r="G2" s="168"/>
      <c r="H2" s="168"/>
    </row>
    <row r="3" spans="1:8" ht="21.75" customHeight="1" x14ac:dyDescent="0.3">
      <c r="A3" s="35" t="s">
        <v>2</v>
      </c>
      <c r="B3" s="35" t="s">
        <v>12</v>
      </c>
      <c r="C3" s="35" t="s">
        <v>13</v>
      </c>
      <c r="D3" s="35" t="s">
        <v>323</v>
      </c>
      <c r="E3" s="35" t="s">
        <v>324</v>
      </c>
      <c r="F3" s="35" t="s">
        <v>325</v>
      </c>
      <c r="G3" s="35" t="s">
        <v>326</v>
      </c>
      <c r="H3" s="140" t="s">
        <v>666</v>
      </c>
    </row>
    <row r="4" spans="1:8" ht="15.75" customHeight="1" x14ac:dyDescent="0.3">
      <c r="A4" s="2" t="s">
        <v>17</v>
      </c>
      <c r="B4" s="24">
        <v>44451</v>
      </c>
      <c r="C4" s="24">
        <v>44617</v>
      </c>
      <c r="D4" s="36">
        <v>166</v>
      </c>
      <c r="E4" s="36">
        <v>5</v>
      </c>
      <c r="F4" s="36">
        <v>0</v>
      </c>
      <c r="G4" s="36">
        <v>120</v>
      </c>
      <c r="H4" s="138">
        <v>44542</v>
      </c>
    </row>
    <row r="5" spans="1:8" ht="15.75" customHeight="1" x14ac:dyDescent="0.3">
      <c r="A5" s="5" t="s">
        <v>28</v>
      </c>
      <c r="B5" s="28">
        <v>44895</v>
      </c>
      <c r="C5" s="28">
        <v>45142</v>
      </c>
      <c r="D5" s="37">
        <v>247</v>
      </c>
      <c r="E5" s="37">
        <v>8</v>
      </c>
      <c r="F5" s="37">
        <v>0</v>
      </c>
      <c r="G5" s="37">
        <v>178</v>
      </c>
      <c r="H5" s="139">
        <v>44985</v>
      </c>
    </row>
    <row r="6" spans="1:8" ht="15.75" customHeight="1" x14ac:dyDescent="0.3">
      <c r="A6" s="2" t="s">
        <v>37</v>
      </c>
      <c r="B6" s="24">
        <v>44744</v>
      </c>
      <c r="C6" s="24">
        <v>44856</v>
      </c>
      <c r="D6" s="36">
        <v>112</v>
      </c>
      <c r="E6" s="36">
        <v>3</v>
      </c>
      <c r="F6" s="36">
        <v>0</v>
      </c>
      <c r="G6" s="36">
        <v>80</v>
      </c>
      <c r="H6" s="138">
        <v>44836</v>
      </c>
    </row>
    <row r="7" spans="1:8" ht="15.75" customHeight="1" x14ac:dyDescent="0.3">
      <c r="A7" s="5" t="s">
        <v>45</v>
      </c>
      <c r="B7" s="28">
        <v>44378</v>
      </c>
      <c r="C7" s="28">
        <v>44923</v>
      </c>
      <c r="D7" s="37">
        <v>545</v>
      </c>
      <c r="E7" s="37">
        <v>17</v>
      </c>
      <c r="F7" s="37">
        <v>1</v>
      </c>
      <c r="G7" s="37">
        <v>390</v>
      </c>
      <c r="H7" s="139">
        <v>44470</v>
      </c>
    </row>
    <row r="8" spans="1:8" ht="15.75" customHeight="1" x14ac:dyDescent="0.3">
      <c r="A8" s="2" t="s">
        <v>54</v>
      </c>
      <c r="B8" s="24">
        <v>44534</v>
      </c>
      <c r="C8" s="24">
        <v>44703</v>
      </c>
      <c r="D8" s="36">
        <v>169</v>
      </c>
      <c r="E8" s="36">
        <v>5</v>
      </c>
      <c r="F8" s="36">
        <v>0</v>
      </c>
      <c r="G8" s="36">
        <v>120</v>
      </c>
      <c r="H8" s="138">
        <v>44624</v>
      </c>
    </row>
    <row r="9" spans="1:8" ht="15.75" customHeight="1" x14ac:dyDescent="0.3">
      <c r="A9" s="5" t="s">
        <v>60</v>
      </c>
      <c r="B9" s="28">
        <v>45081</v>
      </c>
      <c r="C9" s="28">
        <v>45846</v>
      </c>
      <c r="D9" s="37"/>
      <c r="E9" s="37"/>
      <c r="F9" s="37"/>
      <c r="G9" s="37"/>
      <c r="H9" s="139"/>
    </row>
    <row r="10" spans="1:8" ht="15.75" customHeight="1" x14ac:dyDescent="0.3">
      <c r="A10" s="2" t="s">
        <v>70</v>
      </c>
      <c r="B10" s="24">
        <v>44708</v>
      </c>
      <c r="C10" s="24">
        <v>44977</v>
      </c>
      <c r="D10" s="36"/>
      <c r="E10" s="36"/>
      <c r="F10" s="36"/>
      <c r="G10" s="36"/>
      <c r="H10" s="138"/>
    </row>
    <row r="11" spans="1:8" ht="15.75" customHeight="1" x14ac:dyDescent="0.3">
      <c r="A11" s="5" t="s">
        <v>79</v>
      </c>
      <c r="B11" s="28">
        <v>44605</v>
      </c>
      <c r="C11" s="28">
        <v>45030</v>
      </c>
      <c r="D11" s="37"/>
      <c r="E11" s="37"/>
      <c r="F11" s="37"/>
      <c r="G11" s="37"/>
      <c r="H11" s="139"/>
    </row>
    <row r="12" spans="1:8" ht="15.75" customHeight="1" x14ac:dyDescent="0.3">
      <c r="A12" s="2" t="s">
        <v>85</v>
      </c>
      <c r="B12" s="24">
        <v>44305</v>
      </c>
      <c r="C12" s="24">
        <v>45039</v>
      </c>
      <c r="D12" s="36"/>
      <c r="E12" s="36"/>
      <c r="F12" s="36"/>
      <c r="G12" s="36"/>
      <c r="H12" s="138"/>
    </row>
    <row r="13" spans="1:8" ht="15.75" customHeight="1" x14ac:dyDescent="0.3">
      <c r="A13" s="5" t="s">
        <v>92</v>
      </c>
      <c r="B13" s="28">
        <v>45004</v>
      </c>
      <c r="C13" s="28">
        <v>45522</v>
      </c>
      <c r="D13" s="37"/>
      <c r="E13" s="37"/>
      <c r="F13" s="37"/>
      <c r="G13" s="37"/>
      <c r="H13" s="139"/>
    </row>
    <row r="14" spans="1:8" ht="15.75" customHeight="1" x14ac:dyDescent="0.3">
      <c r="A14" s="2" t="s">
        <v>97</v>
      </c>
      <c r="B14" s="24">
        <v>44399</v>
      </c>
      <c r="C14" s="24">
        <v>44782</v>
      </c>
      <c r="D14" s="36"/>
      <c r="E14" s="36"/>
      <c r="F14" s="36"/>
      <c r="G14" s="36"/>
      <c r="H14" s="138"/>
    </row>
    <row r="15" spans="1:8" ht="15.75" customHeight="1" x14ac:dyDescent="0.3">
      <c r="A15" s="5" t="s">
        <v>103</v>
      </c>
      <c r="B15" s="28">
        <v>44741</v>
      </c>
      <c r="C15" s="28">
        <v>44978</v>
      </c>
      <c r="D15" s="37"/>
      <c r="E15" s="37"/>
      <c r="F15" s="37"/>
      <c r="G15" s="37"/>
      <c r="H15" s="139"/>
    </row>
    <row r="16" spans="1:8" ht="15.75" customHeight="1" x14ac:dyDescent="0.3">
      <c r="A16" s="2" t="s">
        <v>109</v>
      </c>
      <c r="B16" s="24">
        <v>44304</v>
      </c>
      <c r="C16" s="24">
        <v>44648</v>
      </c>
      <c r="D16" s="36"/>
      <c r="E16" s="36"/>
      <c r="F16" s="36"/>
      <c r="G16" s="36"/>
      <c r="H16" s="138"/>
    </row>
    <row r="17" spans="1:8" ht="15.75" customHeight="1" x14ac:dyDescent="0.3">
      <c r="A17" s="5" t="s">
        <v>115</v>
      </c>
      <c r="B17" s="28">
        <v>44468</v>
      </c>
      <c r="C17" s="28">
        <v>44969</v>
      </c>
      <c r="D17" s="37"/>
      <c r="E17" s="37"/>
      <c r="F17" s="37"/>
      <c r="G17" s="37"/>
      <c r="H17" s="139"/>
    </row>
    <row r="18" spans="1:8" ht="15.75" customHeight="1" x14ac:dyDescent="0.3">
      <c r="A18" s="2" t="s">
        <v>120</v>
      </c>
      <c r="B18" s="24">
        <v>44687</v>
      </c>
      <c r="C18" s="24">
        <v>45303</v>
      </c>
      <c r="D18" s="36"/>
      <c r="E18" s="36"/>
      <c r="F18" s="36"/>
      <c r="G18" s="36"/>
      <c r="H18" s="138"/>
    </row>
    <row r="19" spans="1:8" ht="15.75" customHeight="1" x14ac:dyDescent="0.3">
      <c r="A19" s="5" t="s">
        <v>127</v>
      </c>
      <c r="B19" s="28">
        <v>44780</v>
      </c>
      <c r="C19" s="28">
        <v>45506</v>
      </c>
      <c r="D19" s="37"/>
      <c r="E19" s="37"/>
      <c r="F19" s="37"/>
      <c r="G19" s="37"/>
      <c r="H19" s="139"/>
    </row>
    <row r="20" spans="1:8" ht="15.75" customHeight="1" x14ac:dyDescent="0.3">
      <c r="A20" s="2" t="s">
        <v>132</v>
      </c>
      <c r="B20" s="24">
        <v>44765</v>
      </c>
      <c r="C20" s="24">
        <v>45094</v>
      </c>
      <c r="D20" s="36"/>
      <c r="E20" s="36"/>
      <c r="F20" s="36"/>
      <c r="G20" s="36"/>
      <c r="H20" s="138"/>
    </row>
    <row r="21" spans="1:8" ht="15.75" customHeight="1" x14ac:dyDescent="0.3">
      <c r="A21" s="5" t="s">
        <v>137</v>
      </c>
      <c r="B21" s="28">
        <v>44915</v>
      </c>
      <c r="C21" s="28">
        <v>45307</v>
      </c>
      <c r="D21" s="37"/>
      <c r="E21" s="37"/>
      <c r="F21" s="37"/>
      <c r="G21" s="37"/>
      <c r="H21" s="139"/>
    </row>
    <row r="22" spans="1:8" ht="15.75" customHeight="1" x14ac:dyDescent="0.3">
      <c r="A22" s="2" t="s">
        <v>142</v>
      </c>
      <c r="B22" s="24">
        <v>44931</v>
      </c>
      <c r="C22" s="24">
        <v>45198</v>
      </c>
      <c r="D22" s="36"/>
      <c r="E22" s="36"/>
      <c r="F22" s="36"/>
      <c r="G22" s="36"/>
      <c r="H22" s="138"/>
    </row>
    <row r="23" spans="1:8" ht="15.75" customHeight="1" x14ac:dyDescent="0.3">
      <c r="A23" s="5" t="s">
        <v>147</v>
      </c>
      <c r="B23" s="28">
        <v>44730</v>
      </c>
      <c r="C23" s="28">
        <v>45508</v>
      </c>
      <c r="D23" s="37"/>
      <c r="E23" s="37"/>
      <c r="F23" s="37"/>
      <c r="G23" s="37"/>
      <c r="H23" s="139"/>
    </row>
    <row r="24" spans="1:8" ht="15.75" customHeight="1" x14ac:dyDescent="0.3">
      <c r="A24" s="2" t="s">
        <v>152</v>
      </c>
      <c r="B24" s="24">
        <v>44456</v>
      </c>
      <c r="C24" s="24">
        <v>44806</v>
      </c>
      <c r="D24" s="36"/>
      <c r="E24" s="36"/>
      <c r="F24" s="36"/>
      <c r="G24" s="36"/>
      <c r="H24" s="138"/>
    </row>
    <row r="25" spans="1:8" ht="15.75" customHeight="1" x14ac:dyDescent="0.3">
      <c r="A25" s="5" t="s">
        <v>157</v>
      </c>
      <c r="B25" s="28">
        <v>45017</v>
      </c>
      <c r="C25" s="28">
        <v>45121</v>
      </c>
      <c r="D25" s="37"/>
      <c r="E25" s="37"/>
      <c r="F25" s="37"/>
      <c r="G25" s="37"/>
      <c r="H25" s="139"/>
    </row>
    <row r="26" spans="1:8" ht="15.75" customHeight="1" x14ac:dyDescent="0.3">
      <c r="A26" s="2" t="s">
        <v>162</v>
      </c>
      <c r="B26" s="24">
        <v>44979</v>
      </c>
      <c r="C26" s="24">
        <v>45304</v>
      </c>
      <c r="D26" s="36"/>
      <c r="E26" s="36"/>
      <c r="F26" s="36"/>
      <c r="G26" s="36"/>
      <c r="H26" s="138"/>
    </row>
    <row r="27" spans="1:8" ht="15.75" customHeight="1" x14ac:dyDescent="0.3">
      <c r="A27" s="5" t="s">
        <v>167</v>
      </c>
      <c r="B27" s="28">
        <v>44226</v>
      </c>
      <c r="C27" s="28">
        <v>44462</v>
      </c>
      <c r="D27" s="37"/>
      <c r="E27" s="37"/>
      <c r="F27" s="37"/>
      <c r="G27" s="37"/>
      <c r="H27" s="139"/>
    </row>
    <row r="28" spans="1:8" ht="15.75" customHeight="1" x14ac:dyDescent="0.3">
      <c r="A28" s="2" t="s">
        <v>172</v>
      </c>
      <c r="B28" s="24">
        <v>44799</v>
      </c>
      <c r="C28" s="24">
        <v>45067</v>
      </c>
      <c r="D28" s="36"/>
      <c r="E28" s="36"/>
      <c r="F28" s="36"/>
      <c r="G28" s="36"/>
      <c r="H28" s="138"/>
    </row>
    <row r="30" spans="1:8" ht="25.5" customHeight="1" x14ac:dyDescent="0.3">
      <c r="A30" s="169" t="s">
        <v>185</v>
      </c>
      <c r="B30" s="169"/>
      <c r="C30" s="169"/>
      <c r="D30" s="169"/>
      <c r="E30" s="169"/>
      <c r="F30" s="169"/>
      <c r="G30" s="169"/>
      <c r="H30" s="169"/>
    </row>
    <row r="31" spans="1:8" ht="27.75" customHeight="1" x14ac:dyDescent="0.3">
      <c r="A31" s="170" t="s">
        <v>327</v>
      </c>
      <c r="B31" s="170"/>
      <c r="C31" s="170"/>
      <c r="D31" s="146" t="s">
        <v>328</v>
      </c>
      <c r="E31" s="146"/>
      <c r="F31" s="146"/>
      <c r="G31" s="146"/>
    </row>
    <row r="32" spans="1:8" ht="27.75" customHeight="1" x14ac:dyDescent="0.3">
      <c r="A32" s="170" t="s">
        <v>329</v>
      </c>
      <c r="B32" s="170"/>
      <c r="C32" s="170"/>
      <c r="D32" s="146" t="s">
        <v>330</v>
      </c>
      <c r="E32" s="146"/>
      <c r="F32" s="146"/>
      <c r="G32" s="146"/>
    </row>
    <row r="33" spans="1:7" ht="27.75" customHeight="1" x14ac:dyDescent="0.3">
      <c r="A33" s="170" t="s">
        <v>331</v>
      </c>
      <c r="B33" s="170"/>
      <c r="C33" s="170"/>
      <c r="D33" s="146" t="s">
        <v>332</v>
      </c>
      <c r="E33" s="146"/>
      <c r="F33" s="146"/>
      <c r="G33" s="146"/>
    </row>
    <row r="34" spans="1:7" ht="27.75" customHeight="1" x14ac:dyDescent="0.3">
      <c r="A34" s="170" t="s">
        <v>333</v>
      </c>
      <c r="B34" s="170"/>
      <c r="C34" s="170"/>
      <c r="D34" s="146" t="s">
        <v>334</v>
      </c>
      <c r="E34" s="146"/>
      <c r="F34" s="146"/>
      <c r="G34" s="146"/>
    </row>
    <row r="35" spans="1:7" ht="27.75" customHeight="1" x14ac:dyDescent="0.3">
      <c r="A35" s="170" t="s">
        <v>335</v>
      </c>
      <c r="B35" s="170"/>
      <c r="C35" s="170"/>
      <c r="D35" s="146" t="s">
        <v>336</v>
      </c>
      <c r="E35" s="146"/>
      <c r="F35" s="146"/>
      <c r="G35" s="146"/>
    </row>
    <row r="36" spans="1:7" ht="27.75" customHeight="1" x14ac:dyDescent="0.3">
      <c r="A36" s="170" t="s">
        <v>337</v>
      </c>
      <c r="B36" s="170"/>
      <c r="C36" s="170"/>
      <c r="D36" s="146" t="s">
        <v>338</v>
      </c>
      <c r="E36" s="146"/>
      <c r="F36" s="146"/>
      <c r="G36" s="146"/>
    </row>
    <row r="37" spans="1:7" ht="27.75" customHeight="1" x14ac:dyDescent="0.3">
      <c r="A37" s="170" t="s">
        <v>339</v>
      </c>
      <c r="B37" s="170"/>
      <c r="C37" s="170"/>
      <c r="D37" s="146" t="s">
        <v>340</v>
      </c>
      <c r="E37" s="146"/>
      <c r="F37" s="146"/>
      <c r="G37" s="146"/>
    </row>
    <row r="38" spans="1:7" ht="27.75" customHeight="1" x14ac:dyDescent="0.3">
      <c r="A38" s="170" t="s">
        <v>341</v>
      </c>
      <c r="B38" s="170"/>
      <c r="C38" s="170"/>
      <c r="D38" s="146" t="s">
        <v>342</v>
      </c>
      <c r="E38" s="146"/>
      <c r="F38" s="146"/>
      <c r="G38" s="146"/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H1"/>
    <mergeCell ref="A2:H2"/>
    <mergeCell ref="A30:H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B0F1A"/>
  </sheetPr>
  <dimension ref="A1:L38"/>
  <sheetViews>
    <sheetView showGridLines="0" zoomScaleNormal="100" workbookViewId="0">
      <pane ySplit="3" topLeftCell="A4" activePane="bottomLeft" state="frozen"/>
      <selection pane="bottomLeft" activeCell="G19" sqref="G19"/>
    </sheetView>
  </sheetViews>
  <sheetFormatPr defaultColWidth="8.6640625" defaultRowHeight="14.4" x14ac:dyDescent="0.3"/>
  <cols>
    <col min="1" max="1" width="9" customWidth="1"/>
    <col min="2" max="2" width="22" customWidth="1"/>
    <col min="3" max="5" width="10" customWidth="1"/>
    <col min="6" max="6" width="16" customWidth="1"/>
    <col min="7" max="7" width="18" customWidth="1"/>
    <col min="8" max="8" width="20" customWidth="1"/>
    <col min="11" max="11" width="24" customWidth="1"/>
  </cols>
  <sheetData>
    <row r="1" spans="1:12" ht="37.5" customHeight="1" x14ac:dyDescent="0.3">
      <c r="A1" s="171" t="s">
        <v>343</v>
      </c>
      <c r="B1" s="171"/>
      <c r="C1" s="171"/>
      <c r="D1" s="171"/>
      <c r="E1" s="171"/>
      <c r="F1" s="171"/>
      <c r="G1" s="171"/>
      <c r="H1" s="171"/>
    </row>
    <row r="2" spans="1:12" ht="30" customHeight="1" x14ac:dyDescent="0.3">
      <c r="A2" s="172" t="s">
        <v>344</v>
      </c>
      <c r="B2" s="172"/>
      <c r="C2" s="172"/>
      <c r="D2" s="172"/>
      <c r="E2" s="172"/>
      <c r="F2" s="172"/>
      <c r="G2" s="172"/>
      <c r="H2" s="172"/>
    </row>
    <row r="3" spans="1:12" ht="21.75" customHeight="1" x14ac:dyDescent="0.3">
      <c r="A3" s="38" t="s">
        <v>2</v>
      </c>
      <c r="B3" s="38" t="s">
        <v>345</v>
      </c>
      <c r="C3" s="38" t="s">
        <v>346</v>
      </c>
      <c r="D3" s="38" t="s">
        <v>347</v>
      </c>
      <c r="E3" s="38" t="s">
        <v>348</v>
      </c>
      <c r="F3" s="38" t="s">
        <v>349</v>
      </c>
      <c r="G3" s="38" t="s">
        <v>350</v>
      </c>
      <c r="H3" s="38" t="s">
        <v>351</v>
      </c>
    </row>
    <row r="4" spans="1:12" ht="15.75" customHeight="1" x14ac:dyDescent="0.3">
      <c r="A4" s="2" t="s">
        <v>17</v>
      </c>
      <c r="B4" s="3" t="s">
        <v>27</v>
      </c>
      <c r="C4" s="39">
        <v>14</v>
      </c>
      <c r="D4" s="39">
        <v>46</v>
      </c>
      <c r="E4" s="39">
        <v>39</v>
      </c>
      <c r="F4" s="39">
        <v>0.61572916666666666</v>
      </c>
      <c r="G4" s="39" t="s">
        <v>661</v>
      </c>
      <c r="H4" s="39" t="s">
        <v>662</v>
      </c>
    </row>
    <row r="5" spans="1:12" ht="15.75" customHeight="1" x14ac:dyDescent="0.3">
      <c r="A5" s="5" t="s">
        <v>28</v>
      </c>
      <c r="B5" s="6" t="s">
        <v>36</v>
      </c>
      <c r="C5" s="40">
        <v>15</v>
      </c>
      <c r="D5" s="40">
        <v>20</v>
      </c>
      <c r="E5" s="40">
        <v>25</v>
      </c>
      <c r="F5" s="40">
        <v>0.6391782407407407</v>
      </c>
      <c r="G5" s="40" t="s">
        <v>661</v>
      </c>
      <c r="H5" s="40" t="s">
        <v>662</v>
      </c>
    </row>
    <row r="6" spans="1:12" ht="15.75" customHeight="1" x14ac:dyDescent="0.3">
      <c r="A6" s="2" t="s">
        <v>37</v>
      </c>
      <c r="B6" s="3" t="s">
        <v>44</v>
      </c>
      <c r="C6" s="39">
        <v>22</v>
      </c>
      <c r="D6" s="39">
        <v>45</v>
      </c>
      <c r="E6" s="39">
        <v>10</v>
      </c>
      <c r="F6" s="39">
        <v>0.94803240740740746</v>
      </c>
      <c r="G6" s="39" t="s">
        <v>663</v>
      </c>
      <c r="H6" s="39" t="s">
        <v>664</v>
      </c>
    </row>
    <row r="7" spans="1:12" ht="15.75" customHeight="1" thickBot="1" x14ac:dyDescent="0.35">
      <c r="A7" s="5" t="s">
        <v>45</v>
      </c>
      <c r="B7" s="6" t="s">
        <v>53</v>
      </c>
      <c r="C7" s="40">
        <v>22</v>
      </c>
      <c r="D7" s="40">
        <v>27</v>
      </c>
      <c r="E7" s="40">
        <v>40</v>
      </c>
      <c r="F7" s="40">
        <v>0.93587962962962967</v>
      </c>
      <c r="G7" s="40" t="s">
        <v>663</v>
      </c>
      <c r="H7" s="40" t="s">
        <v>664</v>
      </c>
    </row>
    <row r="8" spans="1:12" ht="15.75" customHeight="1" thickBot="1" x14ac:dyDescent="0.35">
      <c r="A8" s="2" t="s">
        <v>54</v>
      </c>
      <c r="B8" s="3" t="s">
        <v>59</v>
      </c>
      <c r="C8" s="39">
        <v>21</v>
      </c>
      <c r="D8" s="39">
        <v>48</v>
      </c>
      <c r="E8" s="39">
        <v>8</v>
      </c>
      <c r="F8" s="39">
        <v>0.90842592592592597</v>
      </c>
      <c r="G8" s="39" t="s">
        <v>663</v>
      </c>
      <c r="H8" s="39" t="s">
        <v>664</v>
      </c>
      <c r="K8" s="38" t="s">
        <v>351</v>
      </c>
      <c r="L8" t="s">
        <v>665</v>
      </c>
    </row>
    <row r="9" spans="1:12" ht="15.75" customHeight="1" x14ac:dyDescent="0.3">
      <c r="A9" s="5" t="s">
        <v>60</v>
      </c>
      <c r="B9" s="6" t="s">
        <v>69</v>
      </c>
      <c r="C9" s="40"/>
      <c r="D9" s="40"/>
      <c r="E9" s="40"/>
      <c r="F9" s="40"/>
      <c r="G9" s="40"/>
      <c r="H9" s="40"/>
    </row>
    <row r="10" spans="1:12" ht="15.75" customHeight="1" x14ac:dyDescent="0.3">
      <c r="A10" s="2" t="s">
        <v>70</v>
      </c>
      <c r="B10" s="3" t="s">
        <v>78</v>
      </c>
      <c r="C10" s="39"/>
      <c r="D10" s="39"/>
      <c r="E10" s="39"/>
      <c r="F10" s="39"/>
      <c r="G10" s="39"/>
      <c r="H10" s="39"/>
    </row>
    <row r="11" spans="1:12" ht="15.75" customHeight="1" x14ac:dyDescent="0.3">
      <c r="A11" s="5" t="s">
        <v>79</v>
      </c>
      <c r="B11" s="6" t="s">
        <v>84</v>
      </c>
      <c r="C11" s="40"/>
      <c r="D11" s="40"/>
      <c r="E11" s="40"/>
      <c r="F11" s="40"/>
      <c r="G11" s="40"/>
      <c r="H11" s="40"/>
    </row>
    <row r="12" spans="1:12" ht="15.75" customHeight="1" x14ac:dyDescent="0.3">
      <c r="A12" s="2" t="s">
        <v>85</v>
      </c>
      <c r="B12" s="3" t="s">
        <v>91</v>
      </c>
      <c r="C12" s="39"/>
      <c r="D12" s="39"/>
      <c r="E12" s="39"/>
      <c r="F12" s="39"/>
      <c r="G12" s="39"/>
      <c r="H12" s="39"/>
    </row>
    <row r="13" spans="1:12" ht="15.75" customHeight="1" x14ac:dyDescent="0.3">
      <c r="A13" s="5" t="s">
        <v>92</v>
      </c>
      <c r="B13" s="6" t="s">
        <v>96</v>
      </c>
      <c r="C13" s="40"/>
      <c r="D13" s="40"/>
      <c r="E13" s="40"/>
      <c r="F13" s="40"/>
      <c r="G13" s="40"/>
      <c r="H13" s="40"/>
    </row>
    <row r="14" spans="1:12" ht="15.75" customHeight="1" x14ac:dyDescent="0.3">
      <c r="A14" s="2" t="s">
        <v>97</v>
      </c>
      <c r="B14" s="3" t="s">
        <v>102</v>
      </c>
      <c r="C14" s="39"/>
      <c r="D14" s="39"/>
      <c r="E14" s="39"/>
      <c r="F14" s="39"/>
      <c r="G14" s="39"/>
      <c r="H14" s="39"/>
    </row>
    <row r="15" spans="1:12" ht="15.75" customHeight="1" x14ac:dyDescent="0.3">
      <c r="A15" s="5" t="s">
        <v>103</v>
      </c>
      <c r="B15" s="6" t="s">
        <v>108</v>
      </c>
      <c r="C15" s="40"/>
      <c r="D15" s="40"/>
      <c r="E15" s="40"/>
      <c r="F15" s="40"/>
      <c r="G15" s="40"/>
      <c r="H15" s="40"/>
    </row>
    <row r="16" spans="1:12" ht="15.75" customHeight="1" x14ac:dyDescent="0.3">
      <c r="A16" s="2" t="s">
        <v>109</v>
      </c>
      <c r="B16" s="3" t="s">
        <v>114</v>
      </c>
      <c r="C16" s="39"/>
      <c r="D16" s="39"/>
      <c r="E16" s="39"/>
      <c r="F16" s="39"/>
      <c r="G16" s="39"/>
      <c r="H16" s="39"/>
    </row>
    <row r="17" spans="1:8" ht="15.75" customHeight="1" x14ac:dyDescent="0.3">
      <c r="A17" s="5" t="s">
        <v>115</v>
      </c>
      <c r="B17" s="6" t="s">
        <v>119</v>
      </c>
      <c r="C17" s="40"/>
      <c r="D17" s="40"/>
      <c r="E17" s="40"/>
      <c r="F17" s="40"/>
      <c r="G17" s="40"/>
      <c r="H17" s="40"/>
    </row>
    <row r="18" spans="1:8" ht="15.75" customHeight="1" x14ac:dyDescent="0.3">
      <c r="A18" s="2" t="s">
        <v>120</v>
      </c>
      <c r="B18" s="3" t="s">
        <v>126</v>
      </c>
      <c r="C18" s="39"/>
      <c r="D18" s="39"/>
      <c r="E18" s="39"/>
      <c r="F18" s="39"/>
      <c r="G18" s="39"/>
      <c r="H18" s="39"/>
    </row>
    <row r="19" spans="1:8" ht="15.75" customHeight="1" x14ac:dyDescent="0.3">
      <c r="A19" s="5" t="s">
        <v>127</v>
      </c>
      <c r="B19" s="6" t="s">
        <v>131</v>
      </c>
      <c r="C19" s="40"/>
      <c r="D19" s="40"/>
      <c r="E19" s="40"/>
      <c r="F19" s="40"/>
      <c r="G19" s="40"/>
      <c r="H19" s="40"/>
    </row>
    <row r="20" spans="1:8" ht="15.75" customHeight="1" x14ac:dyDescent="0.3">
      <c r="A20" s="2" t="s">
        <v>132</v>
      </c>
      <c r="B20" s="3" t="s">
        <v>136</v>
      </c>
      <c r="C20" s="39"/>
      <c r="D20" s="39"/>
      <c r="E20" s="39"/>
      <c r="F20" s="39"/>
      <c r="G20" s="39"/>
      <c r="H20" s="39"/>
    </row>
    <row r="21" spans="1:8" ht="15.75" customHeight="1" x14ac:dyDescent="0.3">
      <c r="A21" s="5" t="s">
        <v>137</v>
      </c>
      <c r="B21" s="6" t="s">
        <v>141</v>
      </c>
      <c r="C21" s="40"/>
      <c r="D21" s="40"/>
      <c r="E21" s="40"/>
      <c r="F21" s="40"/>
      <c r="G21" s="40"/>
      <c r="H21" s="40"/>
    </row>
    <row r="22" spans="1:8" ht="15.75" customHeight="1" x14ac:dyDescent="0.3">
      <c r="A22" s="2" t="s">
        <v>142</v>
      </c>
      <c r="B22" s="3" t="s">
        <v>146</v>
      </c>
      <c r="C22" s="39"/>
      <c r="D22" s="39"/>
      <c r="E22" s="39"/>
      <c r="F22" s="39"/>
      <c r="G22" s="39"/>
      <c r="H22" s="39"/>
    </row>
    <row r="23" spans="1:8" ht="15.75" customHeight="1" x14ac:dyDescent="0.3">
      <c r="A23" s="5" t="s">
        <v>147</v>
      </c>
      <c r="B23" s="6" t="s">
        <v>151</v>
      </c>
      <c r="C23" s="40"/>
      <c r="D23" s="40"/>
      <c r="E23" s="40"/>
      <c r="F23" s="40"/>
      <c r="G23" s="40"/>
      <c r="H23" s="40"/>
    </row>
    <row r="24" spans="1:8" ht="15.75" customHeight="1" x14ac:dyDescent="0.3">
      <c r="A24" s="2" t="s">
        <v>152</v>
      </c>
      <c r="B24" s="3" t="s">
        <v>156</v>
      </c>
      <c r="C24" s="39"/>
      <c r="D24" s="39"/>
      <c r="E24" s="39"/>
      <c r="F24" s="39"/>
      <c r="G24" s="39"/>
      <c r="H24" s="39"/>
    </row>
    <row r="25" spans="1:8" ht="15.75" customHeight="1" x14ac:dyDescent="0.3">
      <c r="A25" s="5" t="s">
        <v>157</v>
      </c>
      <c r="B25" s="6" t="s">
        <v>161</v>
      </c>
      <c r="C25" s="40"/>
      <c r="D25" s="40"/>
      <c r="E25" s="40"/>
      <c r="F25" s="40"/>
      <c r="G25" s="40"/>
      <c r="H25" s="40"/>
    </row>
    <row r="26" spans="1:8" ht="15.75" customHeight="1" x14ac:dyDescent="0.3">
      <c r="A26" s="2" t="s">
        <v>162</v>
      </c>
      <c r="B26" s="3" t="s">
        <v>166</v>
      </c>
      <c r="C26" s="39"/>
      <c r="D26" s="39"/>
      <c r="E26" s="39"/>
      <c r="F26" s="39"/>
      <c r="G26" s="39"/>
      <c r="H26" s="39"/>
    </row>
    <row r="27" spans="1:8" ht="15.75" customHeight="1" x14ac:dyDescent="0.3">
      <c r="A27" s="5" t="s">
        <v>167</v>
      </c>
      <c r="B27" s="6" t="s">
        <v>171</v>
      </c>
      <c r="C27" s="40"/>
      <c r="D27" s="40"/>
      <c r="E27" s="40"/>
      <c r="F27" s="40"/>
      <c r="G27" s="40"/>
      <c r="H27" s="40"/>
    </row>
    <row r="28" spans="1:8" ht="15.75" customHeight="1" x14ac:dyDescent="0.3">
      <c r="A28" s="2" t="s">
        <v>172</v>
      </c>
      <c r="B28" s="3" t="s">
        <v>176</v>
      </c>
      <c r="C28" s="39"/>
      <c r="D28" s="39"/>
      <c r="E28" s="39"/>
      <c r="F28" s="39"/>
      <c r="G28" s="39"/>
      <c r="H28" s="39"/>
    </row>
    <row r="30" spans="1:8" ht="25.5" customHeight="1" x14ac:dyDescent="0.3">
      <c r="A30" s="173" t="s">
        <v>185</v>
      </c>
      <c r="B30" s="173"/>
      <c r="C30" s="173"/>
      <c r="D30" s="173"/>
      <c r="E30" s="173"/>
      <c r="F30" s="173"/>
      <c r="G30" s="173"/>
      <c r="H30" s="173"/>
    </row>
    <row r="31" spans="1:8" ht="27.75" customHeight="1" x14ac:dyDescent="0.3">
      <c r="A31" s="174" t="s">
        <v>352</v>
      </c>
      <c r="B31" s="174"/>
      <c r="C31" s="174"/>
      <c r="D31" s="146" t="s">
        <v>353</v>
      </c>
      <c r="E31" s="146"/>
      <c r="F31" s="146"/>
      <c r="G31" s="146"/>
    </row>
    <row r="32" spans="1:8" ht="27.75" customHeight="1" x14ac:dyDescent="0.3">
      <c r="A32" s="174" t="s">
        <v>354</v>
      </c>
      <c r="B32" s="174"/>
      <c r="C32" s="174"/>
      <c r="D32" s="146" t="s">
        <v>355</v>
      </c>
      <c r="E32" s="146"/>
      <c r="F32" s="146"/>
      <c r="G32" s="146"/>
    </row>
    <row r="33" spans="1:7" ht="27.75" customHeight="1" x14ac:dyDescent="0.3">
      <c r="A33" s="174" t="s">
        <v>356</v>
      </c>
      <c r="B33" s="174"/>
      <c r="C33" s="174"/>
      <c r="D33" s="146" t="s">
        <v>357</v>
      </c>
      <c r="E33" s="146"/>
      <c r="F33" s="146"/>
      <c r="G33" s="146"/>
    </row>
    <row r="34" spans="1:7" ht="27.75" customHeight="1" x14ac:dyDescent="0.3">
      <c r="A34" s="174" t="s">
        <v>358</v>
      </c>
      <c r="B34" s="174"/>
      <c r="C34" s="174"/>
      <c r="D34" s="146" t="s">
        <v>359</v>
      </c>
      <c r="E34" s="146"/>
      <c r="F34" s="146"/>
      <c r="G34" s="146"/>
    </row>
    <row r="35" spans="1:7" ht="27.75" customHeight="1" x14ac:dyDescent="0.3">
      <c r="A35" s="174" t="s">
        <v>360</v>
      </c>
      <c r="B35" s="174"/>
      <c r="C35" s="174"/>
      <c r="D35" s="146" t="s">
        <v>361</v>
      </c>
      <c r="E35" s="146"/>
      <c r="F35" s="146"/>
      <c r="G35" s="146"/>
    </row>
    <row r="36" spans="1:7" ht="27.75" customHeight="1" x14ac:dyDescent="0.3">
      <c r="A36" s="174" t="s">
        <v>362</v>
      </c>
      <c r="B36" s="174"/>
      <c r="C36" s="174"/>
      <c r="D36" s="146" t="s">
        <v>363</v>
      </c>
      <c r="E36" s="146"/>
      <c r="F36" s="146"/>
      <c r="G36" s="146"/>
    </row>
    <row r="37" spans="1:7" ht="27.75" customHeight="1" x14ac:dyDescent="0.3">
      <c r="A37" s="174" t="s">
        <v>364</v>
      </c>
      <c r="B37" s="174"/>
      <c r="C37" s="174"/>
      <c r="D37" s="146" t="s">
        <v>365</v>
      </c>
      <c r="E37" s="146"/>
      <c r="F37" s="146"/>
      <c r="G37" s="146"/>
    </row>
    <row r="38" spans="1:7" ht="27.75" customHeight="1" x14ac:dyDescent="0.3">
      <c r="A38" s="174" t="s">
        <v>366</v>
      </c>
      <c r="B38" s="174"/>
      <c r="C38" s="174"/>
      <c r="D38" s="146" t="s">
        <v>367</v>
      </c>
      <c r="E38" s="146"/>
      <c r="F38" s="146"/>
      <c r="G38" s="146"/>
    </row>
  </sheetData>
  <mergeCells count="19">
    <mergeCell ref="A38:C38"/>
    <mergeCell ref="D38:G38"/>
    <mergeCell ref="A35:C35"/>
    <mergeCell ref="D35:G35"/>
    <mergeCell ref="A36:C36"/>
    <mergeCell ref="D36:G36"/>
    <mergeCell ref="A37:C37"/>
    <mergeCell ref="D37:G37"/>
    <mergeCell ref="A32:C32"/>
    <mergeCell ref="D32:G32"/>
    <mergeCell ref="A33:C33"/>
    <mergeCell ref="D33:G33"/>
    <mergeCell ref="A34:C34"/>
    <mergeCell ref="D34:G34"/>
    <mergeCell ref="A1:H1"/>
    <mergeCell ref="A2:H2"/>
    <mergeCell ref="A30:H30"/>
    <mergeCell ref="A31:C31"/>
    <mergeCell ref="D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D36"/>
  <sheetViews>
    <sheetView showGridLines="0" zoomScaleNormal="100" workbookViewId="0">
      <selection activeCell="F7" sqref="F7"/>
    </sheetView>
  </sheetViews>
  <sheetFormatPr defaultColWidth="8.6640625" defaultRowHeight="14.4" x14ac:dyDescent="0.3"/>
  <cols>
    <col min="1" max="1" width="5" customWidth="1"/>
    <col min="2" max="2" width="63.33203125" customWidth="1"/>
    <col min="3" max="3" width="36" customWidth="1"/>
    <col min="4" max="4" width="16" customWidth="1"/>
  </cols>
  <sheetData>
    <row r="1" spans="1:4" ht="37.5" customHeight="1" thickBot="1" x14ac:dyDescent="0.35">
      <c r="A1" s="141" t="s">
        <v>368</v>
      </c>
      <c r="B1" s="141"/>
      <c r="C1" s="141"/>
      <c r="D1" s="141"/>
    </row>
    <row r="2" spans="1:4" ht="30" customHeight="1" x14ac:dyDescent="0.3">
      <c r="A2" s="142" t="s">
        <v>369</v>
      </c>
      <c r="B2" s="142"/>
      <c r="C2" s="142"/>
      <c r="D2" s="142"/>
    </row>
    <row r="4" spans="1:4" ht="25.5" customHeight="1" thickBot="1" x14ac:dyDescent="0.35">
      <c r="A4" s="41" t="s">
        <v>370</v>
      </c>
      <c r="B4" s="41"/>
      <c r="C4" s="41"/>
      <c r="D4" s="41"/>
    </row>
    <row r="5" spans="1:4" ht="43.5" customHeight="1" thickBot="1" x14ac:dyDescent="0.35">
      <c r="A5" s="42" t="s">
        <v>371</v>
      </c>
      <c r="B5" s="43" t="s">
        <v>372</v>
      </c>
      <c r="C5" s="44" t="s">
        <v>373</v>
      </c>
      <c r="D5" s="45" t="s">
        <v>374</v>
      </c>
    </row>
    <row r="6" spans="1:4" ht="43.5" customHeight="1" thickBot="1" x14ac:dyDescent="0.35">
      <c r="A6" s="42" t="s">
        <v>375</v>
      </c>
      <c r="B6" s="43" t="s">
        <v>376</v>
      </c>
      <c r="C6" s="44" t="s">
        <v>373</v>
      </c>
      <c r="D6" s="45" t="s">
        <v>374</v>
      </c>
    </row>
    <row r="7" spans="1:4" ht="43.5" customHeight="1" thickBot="1" x14ac:dyDescent="0.35">
      <c r="A7" s="46" t="s">
        <v>377</v>
      </c>
      <c r="B7" s="43" t="s">
        <v>378</v>
      </c>
      <c r="C7" s="44" t="s">
        <v>373</v>
      </c>
      <c r="D7" s="47" t="s">
        <v>379</v>
      </c>
    </row>
    <row r="8" spans="1:4" ht="43.5" customHeight="1" thickBot="1" x14ac:dyDescent="0.35">
      <c r="A8" s="46" t="s">
        <v>380</v>
      </c>
      <c r="B8" s="43" t="s">
        <v>381</v>
      </c>
      <c r="C8" s="44" t="s">
        <v>373</v>
      </c>
      <c r="D8" s="47" t="s">
        <v>379</v>
      </c>
    </row>
    <row r="9" spans="1:4" ht="25.5" customHeight="1" thickBot="1" x14ac:dyDescent="0.35">
      <c r="A9" s="41" t="s">
        <v>382</v>
      </c>
      <c r="B9" s="41"/>
      <c r="C9" s="41"/>
      <c r="D9" s="41"/>
    </row>
    <row r="10" spans="1:4" ht="43.5" customHeight="1" thickBot="1" x14ac:dyDescent="0.35">
      <c r="A10" s="42" t="s">
        <v>383</v>
      </c>
      <c r="B10" s="43" t="s">
        <v>384</v>
      </c>
      <c r="C10" s="44" t="s">
        <v>373</v>
      </c>
      <c r="D10" s="45" t="s">
        <v>374</v>
      </c>
    </row>
    <row r="11" spans="1:4" ht="43.5" customHeight="1" thickBot="1" x14ac:dyDescent="0.35">
      <c r="A11" s="42" t="s">
        <v>385</v>
      </c>
      <c r="B11" s="43" t="s">
        <v>386</v>
      </c>
      <c r="C11" s="44" t="s">
        <v>373</v>
      </c>
      <c r="D11" s="45" t="s">
        <v>374</v>
      </c>
    </row>
    <row r="12" spans="1:4" ht="43.5" customHeight="1" thickBot="1" x14ac:dyDescent="0.35">
      <c r="A12" s="46" t="s">
        <v>387</v>
      </c>
      <c r="B12" s="43" t="s">
        <v>388</v>
      </c>
      <c r="C12" s="44" t="s">
        <v>373</v>
      </c>
      <c r="D12" s="47" t="s">
        <v>379</v>
      </c>
    </row>
    <row r="13" spans="1:4" ht="25.5" customHeight="1" thickBot="1" x14ac:dyDescent="0.35">
      <c r="A13" s="41" t="s">
        <v>389</v>
      </c>
      <c r="B13" s="41"/>
      <c r="C13" s="41"/>
      <c r="D13" s="41"/>
    </row>
    <row r="14" spans="1:4" ht="43.5" customHeight="1" thickBot="1" x14ac:dyDescent="0.35">
      <c r="A14" s="42" t="s">
        <v>390</v>
      </c>
      <c r="B14" s="43" t="s">
        <v>391</v>
      </c>
      <c r="C14" s="44" t="s">
        <v>373</v>
      </c>
      <c r="D14" s="45" t="s">
        <v>374</v>
      </c>
    </row>
    <row r="15" spans="1:4" ht="43.5" customHeight="1" thickBot="1" x14ac:dyDescent="0.35">
      <c r="A15" s="46" t="s">
        <v>392</v>
      </c>
      <c r="B15" s="43" t="s">
        <v>393</v>
      </c>
      <c r="C15" s="44" t="s">
        <v>373</v>
      </c>
      <c r="D15" s="47" t="s">
        <v>379</v>
      </c>
    </row>
    <row r="16" spans="1:4" ht="43.5" customHeight="1" thickBot="1" x14ac:dyDescent="0.35">
      <c r="A16" s="46" t="s">
        <v>394</v>
      </c>
      <c r="B16" s="43" t="s">
        <v>395</v>
      </c>
      <c r="C16" s="44" t="s">
        <v>373</v>
      </c>
      <c r="D16" s="47" t="s">
        <v>379</v>
      </c>
    </row>
    <row r="17" spans="1:4" ht="25.5" customHeight="1" thickBot="1" x14ac:dyDescent="0.35">
      <c r="A17" s="41" t="s">
        <v>396</v>
      </c>
      <c r="B17" s="41"/>
      <c r="C17" s="41"/>
      <c r="D17" s="41"/>
    </row>
    <row r="18" spans="1:4" ht="43.5" customHeight="1" thickBot="1" x14ac:dyDescent="0.35">
      <c r="A18" s="42" t="s">
        <v>397</v>
      </c>
      <c r="B18" s="43" t="s">
        <v>398</v>
      </c>
      <c r="C18" s="44" t="s">
        <v>373</v>
      </c>
      <c r="D18" s="45" t="s">
        <v>374</v>
      </c>
    </row>
    <row r="19" spans="1:4" ht="43.5" customHeight="1" thickBot="1" x14ac:dyDescent="0.35">
      <c r="A19" s="42" t="s">
        <v>399</v>
      </c>
      <c r="B19" s="43" t="s">
        <v>400</v>
      </c>
      <c r="C19" s="44" t="s">
        <v>373</v>
      </c>
      <c r="D19" s="45" t="s">
        <v>374</v>
      </c>
    </row>
    <row r="20" spans="1:4" ht="43.5" customHeight="1" thickBot="1" x14ac:dyDescent="0.35">
      <c r="A20" s="46" t="s">
        <v>401</v>
      </c>
      <c r="B20" s="43" t="s">
        <v>402</v>
      </c>
      <c r="C20" s="44" t="s">
        <v>373</v>
      </c>
      <c r="D20" s="47" t="s">
        <v>379</v>
      </c>
    </row>
    <row r="21" spans="1:4" ht="43.5" customHeight="1" thickBot="1" x14ac:dyDescent="0.35">
      <c r="A21" s="46" t="s">
        <v>403</v>
      </c>
      <c r="B21" s="43" t="s">
        <v>404</v>
      </c>
      <c r="C21" s="44" t="s">
        <v>373</v>
      </c>
      <c r="D21" s="47" t="s">
        <v>379</v>
      </c>
    </row>
    <row r="22" spans="1:4" ht="25.5" customHeight="1" thickBot="1" x14ac:dyDescent="0.35">
      <c r="A22" s="41" t="s">
        <v>405</v>
      </c>
      <c r="B22" s="41"/>
      <c r="C22" s="41"/>
      <c r="D22" s="41"/>
    </row>
    <row r="23" spans="1:4" ht="43.5" customHeight="1" thickBot="1" x14ac:dyDescent="0.35">
      <c r="A23" s="42" t="s">
        <v>406</v>
      </c>
      <c r="B23" s="43" t="s">
        <v>407</v>
      </c>
      <c r="C23" s="44" t="s">
        <v>373</v>
      </c>
      <c r="D23" s="45" t="s">
        <v>374</v>
      </c>
    </row>
    <row r="24" spans="1:4" ht="43.5" customHeight="1" thickBot="1" x14ac:dyDescent="0.35">
      <c r="A24" s="42" t="s">
        <v>408</v>
      </c>
      <c r="B24" s="43" t="s">
        <v>409</v>
      </c>
      <c r="C24" s="44" t="s">
        <v>373</v>
      </c>
      <c r="D24" s="45" t="s">
        <v>374</v>
      </c>
    </row>
    <row r="25" spans="1:4" ht="43.5" customHeight="1" thickBot="1" x14ac:dyDescent="0.35">
      <c r="A25" s="42" t="s">
        <v>410</v>
      </c>
      <c r="B25" s="43" t="s">
        <v>411</v>
      </c>
      <c r="C25" s="44" t="s">
        <v>373</v>
      </c>
      <c r="D25" s="45" t="s">
        <v>374</v>
      </c>
    </row>
    <row r="26" spans="1:4" ht="25.5" customHeight="1" thickBot="1" x14ac:dyDescent="0.35">
      <c r="A26" s="41" t="s">
        <v>412</v>
      </c>
      <c r="B26" s="41"/>
      <c r="C26" s="41"/>
      <c r="D26" s="41"/>
    </row>
    <row r="27" spans="1:4" ht="43.5" customHeight="1" thickBot="1" x14ac:dyDescent="0.35">
      <c r="A27" s="42" t="s">
        <v>413</v>
      </c>
      <c r="B27" s="43" t="s">
        <v>414</v>
      </c>
      <c r="C27" s="44" t="s">
        <v>373</v>
      </c>
      <c r="D27" s="45" t="s">
        <v>374</v>
      </c>
    </row>
    <row r="28" spans="1:4" ht="43.5" customHeight="1" thickBot="1" x14ac:dyDescent="0.35">
      <c r="A28" s="46" t="s">
        <v>415</v>
      </c>
      <c r="B28" s="43" t="s">
        <v>416</v>
      </c>
      <c r="C28" s="44" t="s">
        <v>373</v>
      </c>
      <c r="D28" s="47" t="s">
        <v>379</v>
      </c>
    </row>
    <row r="29" spans="1:4" ht="43.5" customHeight="1" thickBot="1" x14ac:dyDescent="0.35">
      <c r="A29" s="42" t="s">
        <v>417</v>
      </c>
      <c r="B29" s="43" t="s">
        <v>418</v>
      </c>
      <c r="C29" s="44" t="s">
        <v>373</v>
      </c>
      <c r="D29" s="45" t="s">
        <v>374</v>
      </c>
    </row>
    <row r="30" spans="1:4" ht="25.5" customHeight="1" thickBot="1" x14ac:dyDescent="0.35">
      <c r="A30" s="41" t="s">
        <v>419</v>
      </c>
      <c r="B30" s="41"/>
      <c r="C30" s="41"/>
      <c r="D30" s="41"/>
    </row>
    <row r="31" spans="1:4" ht="43.5" customHeight="1" thickBot="1" x14ac:dyDescent="0.35">
      <c r="A31" s="46" t="s">
        <v>420</v>
      </c>
      <c r="B31" s="43" t="s">
        <v>421</v>
      </c>
      <c r="C31" s="44" t="s">
        <v>373</v>
      </c>
      <c r="D31" s="47" t="s">
        <v>379</v>
      </c>
    </row>
    <row r="32" spans="1:4" ht="43.5" customHeight="1" thickBot="1" x14ac:dyDescent="0.35">
      <c r="A32" s="46" t="s">
        <v>422</v>
      </c>
      <c r="B32" s="43" t="s">
        <v>423</v>
      </c>
      <c r="C32" s="44" t="s">
        <v>373</v>
      </c>
      <c r="D32" s="47" t="s">
        <v>379</v>
      </c>
    </row>
    <row r="33" spans="1:4" ht="43.5" customHeight="1" thickBot="1" x14ac:dyDescent="0.35">
      <c r="A33" s="42" t="s">
        <v>424</v>
      </c>
      <c r="B33" s="43" t="s">
        <v>425</v>
      </c>
      <c r="C33" s="44" t="s">
        <v>373</v>
      </c>
      <c r="D33" s="45" t="s">
        <v>374</v>
      </c>
    </row>
    <row r="34" spans="1:4" ht="25.5" customHeight="1" thickBot="1" x14ac:dyDescent="0.35">
      <c r="A34" s="41" t="s">
        <v>426</v>
      </c>
      <c r="B34" s="41"/>
      <c r="C34" s="41"/>
      <c r="D34" s="41"/>
    </row>
    <row r="35" spans="1:4" ht="43.5" customHeight="1" thickBot="1" x14ac:dyDescent="0.35">
      <c r="A35" s="46" t="s">
        <v>427</v>
      </c>
      <c r="B35" s="43" t="s">
        <v>428</v>
      </c>
      <c r="C35" s="44" t="s">
        <v>373</v>
      </c>
      <c r="D35" s="47" t="s">
        <v>379</v>
      </c>
    </row>
    <row r="36" spans="1:4" ht="43.5" customHeight="1" thickBot="1" x14ac:dyDescent="0.35">
      <c r="A36" s="48" t="s">
        <v>429</v>
      </c>
      <c r="B36" s="43" t="s">
        <v>430</v>
      </c>
      <c r="C36" s="44" t="s">
        <v>373</v>
      </c>
      <c r="D36" s="49" t="s">
        <v>431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F38"/>
  <sheetViews>
    <sheetView showGridLines="0" topLeftCell="B12" zoomScaleNormal="100" workbookViewId="0">
      <selection sqref="A1:F1"/>
    </sheetView>
  </sheetViews>
  <sheetFormatPr defaultColWidth="8.6640625" defaultRowHeight="14.4" x14ac:dyDescent="0.3"/>
  <cols>
    <col min="1" max="1" width="15" customWidth="1"/>
    <col min="2" max="2" width="40" customWidth="1"/>
    <col min="3" max="3" width="26" customWidth="1"/>
    <col min="4" max="4" width="12" customWidth="1"/>
    <col min="5" max="5" width="46.33203125" customWidth="1"/>
    <col min="6" max="6" width="51.109375" customWidth="1"/>
  </cols>
  <sheetData>
    <row r="1" spans="1:6" ht="37.5" customHeight="1" x14ac:dyDescent="0.3">
      <c r="A1" s="141" t="s">
        <v>432</v>
      </c>
      <c r="B1" s="141"/>
      <c r="C1" s="141"/>
      <c r="D1" s="141"/>
      <c r="E1" s="141"/>
      <c r="F1" s="141"/>
    </row>
    <row r="2" spans="1:6" ht="30" customHeight="1" x14ac:dyDescent="0.3">
      <c r="A2" s="142" t="s">
        <v>433</v>
      </c>
      <c r="B2" s="142"/>
      <c r="C2" s="142"/>
      <c r="D2" s="142"/>
      <c r="E2" s="142"/>
      <c r="F2" s="142"/>
    </row>
    <row r="3" spans="1:6" ht="21.75" customHeight="1" x14ac:dyDescent="0.3">
      <c r="A3" s="50" t="s">
        <v>434</v>
      </c>
      <c r="B3" s="50" t="s">
        <v>435</v>
      </c>
      <c r="C3" s="50" t="s">
        <v>436</v>
      </c>
      <c r="D3" s="50" t="s">
        <v>437</v>
      </c>
      <c r="E3" s="50" t="s">
        <v>438</v>
      </c>
      <c r="F3" s="50" t="s">
        <v>439</v>
      </c>
    </row>
    <row r="4" spans="1:6" ht="31.5" customHeight="1" x14ac:dyDescent="0.3">
      <c r="A4" s="51" t="s">
        <v>440</v>
      </c>
      <c r="B4" s="52" t="s">
        <v>441</v>
      </c>
      <c r="C4" s="53" t="s">
        <v>442</v>
      </c>
      <c r="D4" s="54" t="s">
        <v>443</v>
      </c>
      <c r="E4" s="53" t="s">
        <v>444</v>
      </c>
      <c r="F4" s="55" t="s">
        <v>445</v>
      </c>
    </row>
    <row r="5" spans="1:6" ht="31.5" customHeight="1" x14ac:dyDescent="0.3">
      <c r="A5" s="56" t="s">
        <v>446</v>
      </c>
      <c r="B5" s="57" t="s">
        <v>447</v>
      </c>
      <c r="C5" s="58" t="s">
        <v>448</v>
      </c>
      <c r="D5" s="59" t="s">
        <v>443</v>
      </c>
      <c r="E5" s="58" t="s">
        <v>449</v>
      </c>
      <c r="F5" s="60" t="s">
        <v>450</v>
      </c>
    </row>
    <row r="6" spans="1:6" ht="31.5" customHeight="1" x14ac:dyDescent="0.3">
      <c r="A6" s="51" t="s">
        <v>451</v>
      </c>
      <c r="B6" s="52" t="s">
        <v>452</v>
      </c>
      <c r="C6" s="53" t="s">
        <v>453</v>
      </c>
      <c r="D6" s="54" t="s">
        <v>443</v>
      </c>
      <c r="E6" s="53" t="s">
        <v>454</v>
      </c>
      <c r="F6" s="55" t="s">
        <v>455</v>
      </c>
    </row>
    <row r="7" spans="1:6" ht="31.5" customHeight="1" x14ac:dyDescent="0.3">
      <c r="A7" s="56" t="s">
        <v>180</v>
      </c>
      <c r="B7" s="57" t="s">
        <v>456</v>
      </c>
      <c r="C7" s="58" t="s">
        <v>457</v>
      </c>
      <c r="D7" s="59" t="s">
        <v>443</v>
      </c>
      <c r="E7" s="58" t="s">
        <v>458</v>
      </c>
      <c r="F7" s="60" t="s">
        <v>459</v>
      </c>
    </row>
    <row r="8" spans="1:6" ht="31.5" customHeight="1" x14ac:dyDescent="0.3">
      <c r="A8" s="61" t="s">
        <v>203</v>
      </c>
      <c r="B8" s="62" t="s">
        <v>460</v>
      </c>
      <c r="C8" s="63" t="s">
        <v>461</v>
      </c>
      <c r="D8" s="64" t="s">
        <v>443</v>
      </c>
      <c r="E8" s="63" t="s">
        <v>462</v>
      </c>
      <c r="F8" s="65" t="s">
        <v>463</v>
      </c>
    </row>
    <row r="9" spans="1:6" ht="31.5" customHeight="1" x14ac:dyDescent="0.3">
      <c r="A9" s="66" t="s">
        <v>204</v>
      </c>
      <c r="B9" s="67" t="s">
        <v>464</v>
      </c>
      <c r="C9" s="68" t="s">
        <v>465</v>
      </c>
      <c r="D9" s="69" t="s">
        <v>443</v>
      </c>
      <c r="E9" s="68" t="s">
        <v>466</v>
      </c>
      <c r="F9" s="70" t="s">
        <v>467</v>
      </c>
    </row>
    <row r="10" spans="1:6" ht="31.5" customHeight="1" x14ac:dyDescent="0.3">
      <c r="A10" s="61" t="s">
        <v>205</v>
      </c>
      <c r="B10" s="62" t="s">
        <v>468</v>
      </c>
      <c r="C10" s="63" t="s">
        <v>469</v>
      </c>
      <c r="D10" s="64" t="s">
        <v>443</v>
      </c>
      <c r="E10" s="63" t="s">
        <v>470</v>
      </c>
      <c r="F10" s="65" t="s">
        <v>471</v>
      </c>
    </row>
    <row r="11" spans="1:6" ht="31.5" customHeight="1" x14ac:dyDescent="0.3">
      <c r="A11" s="66" t="s">
        <v>472</v>
      </c>
      <c r="B11" s="67" t="s">
        <v>473</v>
      </c>
      <c r="C11" s="68" t="s">
        <v>474</v>
      </c>
      <c r="D11" s="69" t="s">
        <v>443</v>
      </c>
      <c r="E11" s="68" t="s">
        <v>475</v>
      </c>
      <c r="F11" s="70" t="s">
        <v>476</v>
      </c>
    </row>
    <row r="12" spans="1:6" ht="31.5" customHeight="1" x14ac:dyDescent="0.3">
      <c r="A12" s="61" t="s">
        <v>477</v>
      </c>
      <c r="B12" s="62" t="s">
        <v>478</v>
      </c>
      <c r="C12" s="63" t="s">
        <v>479</v>
      </c>
      <c r="D12" s="64" t="s">
        <v>443</v>
      </c>
      <c r="E12" s="63" t="s">
        <v>480</v>
      </c>
      <c r="F12" s="65" t="s">
        <v>481</v>
      </c>
    </row>
    <row r="13" spans="1:6" ht="31.5" customHeight="1" x14ac:dyDescent="0.3">
      <c r="A13" s="71" t="s">
        <v>482</v>
      </c>
      <c r="B13" s="72" t="s">
        <v>483</v>
      </c>
      <c r="C13" s="73" t="s">
        <v>484</v>
      </c>
      <c r="D13" s="74" t="s">
        <v>443</v>
      </c>
      <c r="E13" s="73" t="s">
        <v>485</v>
      </c>
      <c r="F13" s="75" t="s">
        <v>486</v>
      </c>
    </row>
    <row r="14" spans="1:6" ht="31.5" customHeight="1" x14ac:dyDescent="0.3">
      <c r="A14" s="76" t="s">
        <v>487</v>
      </c>
      <c r="B14" s="77" t="s">
        <v>488</v>
      </c>
      <c r="C14" s="78" t="s">
        <v>489</v>
      </c>
      <c r="D14" s="79" t="s">
        <v>443</v>
      </c>
      <c r="E14" s="78" t="s">
        <v>490</v>
      </c>
      <c r="F14" s="80" t="s">
        <v>491</v>
      </c>
    </row>
    <row r="15" spans="1:6" ht="31.5" customHeight="1" x14ac:dyDescent="0.3">
      <c r="A15" s="71" t="s">
        <v>492</v>
      </c>
      <c r="B15" s="72" t="s">
        <v>493</v>
      </c>
      <c r="C15" s="73" t="s">
        <v>494</v>
      </c>
      <c r="D15" s="74" t="s">
        <v>443</v>
      </c>
      <c r="E15" s="73" t="s">
        <v>495</v>
      </c>
      <c r="F15" s="75" t="s">
        <v>496</v>
      </c>
    </row>
    <row r="16" spans="1:6" ht="31.5" customHeight="1" x14ac:dyDescent="0.3">
      <c r="A16" s="76" t="s">
        <v>497</v>
      </c>
      <c r="B16" s="77" t="s">
        <v>498</v>
      </c>
      <c r="C16" s="78" t="s">
        <v>499</v>
      </c>
      <c r="D16" s="79" t="s">
        <v>443</v>
      </c>
      <c r="E16" s="78" t="s">
        <v>500</v>
      </c>
      <c r="F16" s="80" t="s">
        <v>501</v>
      </c>
    </row>
    <row r="17" spans="1:6" ht="31.5" customHeight="1" x14ac:dyDescent="0.3">
      <c r="A17" s="81" t="s">
        <v>502</v>
      </c>
      <c r="B17" s="82" t="s">
        <v>503</v>
      </c>
      <c r="C17" s="83" t="s">
        <v>504</v>
      </c>
      <c r="D17" s="84" t="s">
        <v>443</v>
      </c>
      <c r="E17" s="83" t="s">
        <v>505</v>
      </c>
      <c r="F17" s="85" t="s">
        <v>506</v>
      </c>
    </row>
    <row r="18" spans="1:6" ht="31.5" customHeight="1" x14ac:dyDescent="0.3">
      <c r="A18" s="86" t="s">
        <v>507</v>
      </c>
      <c r="B18" s="87" t="s">
        <v>508</v>
      </c>
      <c r="C18" s="88" t="s">
        <v>509</v>
      </c>
      <c r="D18" s="89" t="s">
        <v>443</v>
      </c>
      <c r="E18" s="88" t="s">
        <v>510</v>
      </c>
      <c r="F18" s="90" t="s">
        <v>511</v>
      </c>
    </row>
    <row r="19" spans="1:6" ht="31.5" customHeight="1" x14ac:dyDescent="0.3">
      <c r="A19" s="81" t="s">
        <v>512</v>
      </c>
      <c r="B19" s="82" t="s">
        <v>513</v>
      </c>
      <c r="C19" s="83" t="s">
        <v>514</v>
      </c>
      <c r="D19" s="84" t="s">
        <v>443</v>
      </c>
      <c r="E19" s="83" t="s">
        <v>515</v>
      </c>
      <c r="F19" s="85" t="s">
        <v>516</v>
      </c>
    </row>
    <row r="20" spans="1:6" ht="31.5" customHeight="1" x14ac:dyDescent="0.3">
      <c r="A20" s="86" t="s">
        <v>517</v>
      </c>
      <c r="B20" s="87" t="s">
        <v>518</v>
      </c>
      <c r="C20" s="88" t="s">
        <v>519</v>
      </c>
      <c r="D20" s="89" t="s">
        <v>443</v>
      </c>
      <c r="E20" s="88" t="s">
        <v>520</v>
      </c>
      <c r="F20" s="90" t="s">
        <v>521</v>
      </c>
    </row>
    <row r="21" spans="1:6" ht="31.5" customHeight="1" x14ac:dyDescent="0.3">
      <c r="A21" s="91" t="s">
        <v>522</v>
      </c>
      <c r="B21" s="92" t="s">
        <v>281</v>
      </c>
      <c r="C21" s="93" t="s">
        <v>523</v>
      </c>
      <c r="D21" s="94" t="s">
        <v>524</v>
      </c>
      <c r="E21" s="93" t="s">
        <v>525</v>
      </c>
      <c r="F21" s="95" t="s">
        <v>526</v>
      </c>
    </row>
    <row r="22" spans="1:6" ht="31.5" customHeight="1" x14ac:dyDescent="0.3">
      <c r="A22" s="96" t="s">
        <v>527</v>
      </c>
      <c r="B22" s="97" t="s">
        <v>283</v>
      </c>
      <c r="C22" s="98" t="s">
        <v>528</v>
      </c>
      <c r="D22" s="99" t="s">
        <v>524</v>
      </c>
      <c r="E22" s="98" t="s">
        <v>529</v>
      </c>
      <c r="F22" s="100" t="s">
        <v>530</v>
      </c>
    </row>
    <row r="23" spans="1:6" ht="31.5" customHeight="1" x14ac:dyDescent="0.3">
      <c r="A23" s="91" t="s">
        <v>531</v>
      </c>
      <c r="B23" s="101" t="s">
        <v>532</v>
      </c>
      <c r="C23" s="93" t="s">
        <v>533</v>
      </c>
      <c r="D23" s="94" t="s">
        <v>524</v>
      </c>
      <c r="E23" s="93" t="s">
        <v>534</v>
      </c>
      <c r="F23" s="95" t="s">
        <v>535</v>
      </c>
    </row>
    <row r="24" spans="1:6" ht="31.5" customHeight="1" x14ac:dyDescent="0.3">
      <c r="A24" s="96" t="s">
        <v>536</v>
      </c>
      <c r="B24" s="102" t="s">
        <v>537</v>
      </c>
      <c r="C24" s="98" t="s">
        <v>538</v>
      </c>
      <c r="D24" s="99" t="s">
        <v>524</v>
      </c>
      <c r="E24" s="98" t="s">
        <v>539</v>
      </c>
      <c r="F24" s="100" t="s">
        <v>540</v>
      </c>
    </row>
    <row r="25" spans="1:6" ht="31.5" customHeight="1" x14ac:dyDescent="0.3">
      <c r="A25" s="103" t="s">
        <v>299</v>
      </c>
      <c r="B25" s="104" t="s">
        <v>541</v>
      </c>
      <c r="C25" s="105" t="s">
        <v>542</v>
      </c>
      <c r="D25" s="106" t="s">
        <v>524</v>
      </c>
      <c r="E25" s="105" t="s">
        <v>543</v>
      </c>
      <c r="F25" s="107" t="s">
        <v>544</v>
      </c>
    </row>
    <row r="26" spans="1:6" ht="31.5" customHeight="1" x14ac:dyDescent="0.3">
      <c r="A26" s="108" t="s">
        <v>300</v>
      </c>
      <c r="B26" s="109" t="s">
        <v>545</v>
      </c>
      <c r="C26" s="110" t="s">
        <v>546</v>
      </c>
      <c r="D26" s="111" t="s">
        <v>524</v>
      </c>
      <c r="E26" s="110" t="s">
        <v>547</v>
      </c>
      <c r="F26" s="112" t="s">
        <v>548</v>
      </c>
    </row>
    <row r="27" spans="1:6" ht="31.5" customHeight="1" x14ac:dyDescent="0.3">
      <c r="A27" s="103" t="s">
        <v>301</v>
      </c>
      <c r="B27" s="104" t="s">
        <v>549</v>
      </c>
      <c r="C27" s="105" t="s">
        <v>550</v>
      </c>
      <c r="D27" s="106" t="s">
        <v>524</v>
      </c>
      <c r="E27" s="105" t="s">
        <v>551</v>
      </c>
      <c r="F27" s="107" t="s">
        <v>552</v>
      </c>
    </row>
    <row r="28" spans="1:6" ht="31.5" customHeight="1" x14ac:dyDescent="0.3">
      <c r="A28" s="108" t="s">
        <v>553</v>
      </c>
      <c r="B28" s="109" t="s">
        <v>554</v>
      </c>
      <c r="C28" s="110" t="s">
        <v>555</v>
      </c>
      <c r="D28" s="111" t="s">
        <v>524</v>
      </c>
      <c r="E28" s="110" t="s">
        <v>556</v>
      </c>
      <c r="F28" s="112" t="s">
        <v>557</v>
      </c>
    </row>
    <row r="29" spans="1:6" ht="31.5" customHeight="1" x14ac:dyDescent="0.3">
      <c r="A29" s="103" t="s">
        <v>303</v>
      </c>
      <c r="B29" s="104" t="s">
        <v>558</v>
      </c>
      <c r="C29" s="105" t="s">
        <v>559</v>
      </c>
      <c r="D29" s="106" t="s">
        <v>524</v>
      </c>
      <c r="E29" s="105" t="s">
        <v>560</v>
      </c>
      <c r="F29" s="107" t="s">
        <v>561</v>
      </c>
    </row>
    <row r="30" spans="1:6" ht="31.5" customHeight="1" x14ac:dyDescent="0.3">
      <c r="A30" s="113" t="s">
        <v>562</v>
      </c>
      <c r="B30" s="114" t="s">
        <v>563</v>
      </c>
      <c r="C30" s="115" t="s">
        <v>564</v>
      </c>
      <c r="D30" s="116" t="s">
        <v>524</v>
      </c>
      <c r="E30" s="115" t="s">
        <v>565</v>
      </c>
      <c r="F30" s="117" t="s">
        <v>566</v>
      </c>
    </row>
    <row r="31" spans="1:6" ht="31.5" customHeight="1" x14ac:dyDescent="0.3">
      <c r="A31" s="118" t="s">
        <v>567</v>
      </c>
      <c r="B31" s="119" t="s">
        <v>568</v>
      </c>
      <c r="C31" s="120" t="s">
        <v>569</v>
      </c>
      <c r="D31" s="121" t="s">
        <v>524</v>
      </c>
      <c r="E31" s="120" t="s">
        <v>570</v>
      </c>
      <c r="F31" s="122" t="s">
        <v>571</v>
      </c>
    </row>
    <row r="32" spans="1:6" ht="31.5" customHeight="1" x14ac:dyDescent="0.3">
      <c r="A32" s="113" t="s">
        <v>326</v>
      </c>
      <c r="B32" s="114" t="s">
        <v>572</v>
      </c>
      <c r="C32" s="115" t="s">
        <v>573</v>
      </c>
      <c r="D32" s="116" t="s">
        <v>524</v>
      </c>
      <c r="E32" s="115" t="s">
        <v>574</v>
      </c>
      <c r="F32" s="117" t="s">
        <v>575</v>
      </c>
    </row>
    <row r="33" spans="1:6" ht="31.5" customHeight="1" x14ac:dyDescent="0.3">
      <c r="A33" s="118" t="s">
        <v>576</v>
      </c>
      <c r="B33" s="119" t="s">
        <v>577</v>
      </c>
      <c r="C33" s="120" t="s">
        <v>578</v>
      </c>
      <c r="D33" s="121" t="s">
        <v>524</v>
      </c>
      <c r="E33" s="120" t="s">
        <v>579</v>
      </c>
      <c r="F33" s="122" t="s">
        <v>580</v>
      </c>
    </row>
    <row r="34" spans="1:6" ht="31.5" customHeight="1" x14ac:dyDescent="0.3">
      <c r="A34" s="113" t="s">
        <v>581</v>
      </c>
      <c r="B34" s="114" t="s">
        <v>582</v>
      </c>
      <c r="C34" s="115" t="s">
        <v>583</v>
      </c>
      <c r="D34" s="116" t="s">
        <v>524</v>
      </c>
      <c r="E34" s="115" t="s">
        <v>584</v>
      </c>
      <c r="F34" s="117" t="s">
        <v>585</v>
      </c>
    </row>
    <row r="35" spans="1:6" ht="31.5" customHeight="1" x14ac:dyDescent="0.3">
      <c r="A35" s="123" t="s">
        <v>346</v>
      </c>
      <c r="B35" s="124" t="s">
        <v>352</v>
      </c>
      <c r="C35" s="125" t="s">
        <v>586</v>
      </c>
      <c r="D35" s="126" t="s">
        <v>524</v>
      </c>
      <c r="E35" s="125" t="s">
        <v>587</v>
      </c>
      <c r="F35" s="127" t="s">
        <v>588</v>
      </c>
    </row>
    <row r="36" spans="1:6" ht="31.5" customHeight="1" x14ac:dyDescent="0.3">
      <c r="A36" s="128" t="s">
        <v>347</v>
      </c>
      <c r="B36" s="129" t="s">
        <v>354</v>
      </c>
      <c r="C36" s="130" t="s">
        <v>589</v>
      </c>
      <c r="D36" s="131" t="s">
        <v>524</v>
      </c>
      <c r="E36" s="130" t="s">
        <v>590</v>
      </c>
      <c r="F36" s="132" t="s">
        <v>591</v>
      </c>
    </row>
    <row r="37" spans="1:6" ht="31.5" customHeight="1" x14ac:dyDescent="0.3">
      <c r="A37" s="123" t="s">
        <v>348</v>
      </c>
      <c r="B37" s="124" t="s">
        <v>356</v>
      </c>
      <c r="C37" s="125" t="s">
        <v>592</v>
      </c>
      <c r="D37" s="126" t="s">
        <v>524</v>
      </c>
      <c r="E37" s="125" t="s">
        <v>593</v>
      </c>
      <c r="F37" s="127" t="s">
        <v>594</v>
      </c>
    </row>
    <row r="38" spans="1:6" ht="31.5" customHeight="1" x14ac:dyDescent="0.3">
      <c r="A38" s="128" t="s">
        <v>349</v>
      </c>
      <c r="B38" s="129" t="s">
        <v>595</v>
      </c>
      <c r="C38" s="130" t="s">
        <v>596</v>
      </c>
      <c r="D38" s="131" t="s">
        <v>524</v>
      </c>
      <c r="E38" s="130" t="s">
        <v>597</v>
      </c>
      <c r="F38" s="132" t="s">
        <v>598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CRM Dataset</vt:lpstr>
      <vt:lpstr>LEFT RIGHT MID LEN</vt:lpstr>
      <vt:lpstr>UPPER LOWER PROPER TRIM CLEAN</vt:lpstr>
      <vt:lpstr>FIND SEARCH SUBSTITUTE REPLACE</vt:lpstr>
      <vt:lpstr>CONCAT TEXTJOIN TEXT</vt:lpstr>
      <vt:lpstr>TODAY NOW DATE TIME</vt:lpstr>
      <vt:lpstr>YEAR MONTH DAY WEEKDAY WEEKNUM</vt:lpstr>
      <vt:lpstr>DATEDIF DAYS NETWORKDAYS EDATE</vt:lpstr>
      <vt:lpstr>HOUR MINUTE SECOND TIMEVALUE</vt:lpstr>
      <vt:lpstr>Practice Exercises</vt:lpstr>
      <vt:lpstr>Quick Reference</vt:lpstr>
      <vt:lpstr>city</vt:lpstr>
      <vt:lpstr>cust_email</vt:lpstr>
      <vt:lpstr>cust_name</vt:lpstr>
      <vt:lpstr>cust_phone</vt:lpstr>
      <vt:lpstr>CustID</vt:lpstr>
      <vt:lpstr>join_date</vt:lpstr>
      <vt:lpstr>last_login_time</vt:lpstr>
      <vt:lpstr>last_name</vt:lpstr>
      <vt:lpstr>plan</vt:lpstr>
      <vt:lpstr>region</vt:lpstr>
      <vt:lpstr>Renewal_Date</vt:lpstr>
      <vt:lpstr>revenue</vt:lpstr>
      <vt:lpstr>segment</vt:lpstr>
      <vt:lpstr>source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Sonali Verma</cp:lastModifiedBy>
  <cp:revision>0</cp:revision>
  <dcterms:created xsi:type="dcterms:W3CDTF">2026-03-12T10:35:06Z</dcterms:created>
  <dcterms:modified xsi:type="dcterms:W3CDTF">2026-08-26T06:15:38Z</dcterms:modified>
  <dc:language>en-US</dc:language>
</cp:coreProperties>
</file>