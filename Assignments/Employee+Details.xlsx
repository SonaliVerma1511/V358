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4E6175C4-04E3-4842-B7E6-C30788BD3C3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<sst xmlns="http://schemas.openxmlformats.org/spreadsheetml/2006/main" count="95" uniqueCount="79">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</sst>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1" fontId="2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E1" zoomScale="92" zoomScaleNormal="70" workbookViewId="0">
      <selection activeCell="I18" sqref="I18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32.21875" bestFit="1" customWidth="1"/>
    <col min="11" max="26" width="8.6640625" customWidth="1"/>
  </cols>
  <sheetData>
    <row r="1" spans="1:10" ht="14.25" customHeight="1" x14ac:dyDescent="0.3">
      <c r="H1" s="1" t="s">
        <v>0</v>
      </c>
      <c r="I1" s="7"/>
    </row>
    <row r="2" spans="1:10" ht="14.25" customHeight="1" x14ac:dyDescent="0.3">
      <c r="H2" s="2"/>
    </row>
    <row r="3" spans="1:10" ht="36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">
      <c r="A4" t="str">
        <f>_xlfn.CONCAT(C4," ",B4)</f>
        <v>ERICA DECKER</v>
      </c>
      <c r="B4" s="1" t="s">
        <v>11</v>
      </c>
      <c r="C4" s="1" t="s">
        <v>12</v>
      </c>
      <c r="D4" s="2">
        <v>36359</v>
      </c>
      <c r="E4" s="4" t="s">
        <v>13</v>
      </c>
      <c r="F4" s="6">
        <f ca="1">DATEDIF(D4,TODAY(),"Y")</f>
        <v>27</v>
      </c>
      <c r="G4" s="4" t="s">
        <v>14</v>
      </c>
      <c r="H4" t="str">
        <f>RIGHT(G4,4)</f>
        <v>2099</v>
      </c>
      <c r="I4" t="str">
        <f>LEFT(G4,FIND("-",G4)-1)</f>
        <v>Lab</v>
      </c>
      <c r="J4" t="str">
        <f>_xlfn.CONCAT(C4,"_",B4,"@companyname.com")</f>
        <v>ERICA_DECKER@companyname.com</v>
      </c>
    </row>
    <row r="5" spans="1:10" ht="14.25" customHeight="1" x14ac:dyDescent="0.3">
      <c r="A5" t="str">
        <f t="shared" ref="A5:A24" si="0">_xlfn.CONCAT(C5," ",B5)</f>
        <v>ANGELA BARRY</v>
      </c>
      <c r="B5" s="1" t="s">
        <v>15</v>
      </c>
      <c r="C5" s="1" t="s">
        <v>16</v>
      </c>
      <c r="D5" s="2">
        <v>36171</v>
      </c>
      <c r="E5" s="4" t="s">
        <v>17</v>
      </c>
      <c r="F5" s="6">
        <f t="shared" ref="F5:F24" ca="1" si="1">DATEDIF(D5,TODAY(),"Y")</f>
        <v>27</v>
      </c>
      <c r="G5" s="4" t="s">
        <v>18</v>
      </c>
      <c r="H5" t="str">
        <f t="shared" ref="H5:H24" si="2">RIGHT(G5,4)</f>
        <v>2770</v>
      </c>
      <c r="I5" t="str">
        <f t="shared" ref="I5:I24" si="3">LEFT(G5,FIND("-",G5)-1)</f>
        <v>Central</v>
      </c>
      <c r="J5" t="str">
        <f t="shared" ref="J5:J24" si="4">_xlfn.CONCAT(C5,"_",B5,"@companyname.com")</f>
        <v>ANGELA_BARRY@companyname.com</v>
      </c>
    </row>
    <row r="6" spans="1:10" ht="14.25" customHeight="1" x14ac:dyDescent="0.3">
      <c r="A6" t="str">
        <f t="shared" si="0"/>
        <v>DANIEL COLE</v>
      </c>
      <c r="B6" s="1" t="s">
        <v>19</v>
      </c>
      <c r="C6" s="1" t="s">
        <v>20</v>
      </c>
      <c r="D6" s="2">
        <v>36551</v>
      </c>
      <c r="E6" s="4" t="s">
        <v>21</v>
      </c>
      <c r="F6" s="6">
        <f t="shared" ca="1" si="1"/>
        <v>26</v>
      </c>
      <c r="G6" s="4" t="s">
        <v>22</v>
      </c>
      <c r="H6" t="str">
        <f t="shared" si="2"/>
        <v>2544</v>
      </c>
      <c r="I6" t="str">
        <f t="shared" si="3"/>
        <v>Central</v>
      </c>
      <c r="J6" t="str">
        <f t="shared" si="4"/>
        <v>DANIEL_COLE@companyname.com</v>
      </c>
    </row>
    <row r="7" spans="1:10" ht="14.25" customHeight="1" x14ac:dyDescent="0.3">
      <c r="A7" t="str">
        <f t="shared" si="0"/>
        <v>ADAM CHAFFEE</v>
      </c>
      <c r="B7" s="1" t="s">
        <v>23</v>
      </c>
      <c r="C7" s="1" t="s">
        <v>24</v>
      </c>
      <c r="D7" s="2">
        <v>36937</v>
      </c>
      <c r="E7" s="4" t="s">
        <v>25</v>
      </c>
      <c r="F7" s="6">
        <f t="shared" ca="1" si="1"/>
        <v>25</v>
      </c>
      <c r="G7" s="4" t="s">
        <v>26</v>
      </c>
      <c r="H7" t="str">
        <f t="shared" si="2"/>
        <v>2110</v>
      </c>
      <c r="I7" t="str">
        <f t="shared" si="3"/>
        <v>HQ</v>
      </c>
      <c r="J7" t="str">
        <f t="shared" si="4"/>
        <v>ADAM_CHAFFEE@companyname.com</v>
      </c>
    </row>
    <row r="8" spans="1:10" ht="14.25" customHeight="1" x14ac:dyDescent="0.3">
      <c r="A8" t="str">
        <f t="shared" si="0"/>
        <v>SUSAN DONNELL</v>
      </c>
      <c r="B8" s="1" t="s">
        <v>27</v>
      </c>
      <c r="C8" s="1" t="s">
        <v>28</v>
      </c>
      <c r="D8" s="2">
        <v>37378</v>
      </c>
      <c r="E8" s="4" t="s">
        <v>29</v>
      </c>
      <c r="F8" s="6">
        <f t="shared" ca="1" si="1"/>
        <v>24</v>
      </c>
      <c r="G8" s="4" t="s">
        <v>30</v>
      </c>
      <c r="H8" t="str">
        <f t="shared" si="2"/>
        <v>2066</v>
      </c>
      <c r="I8" t="str">
        <f t="shared" si="3"/>
        <v>HQ</v>
      </c>
      <c r="J8" t="str">
        <f t="shared" si="4"/>
        <v>SUSAN_DONNELL@companyname.com</v>
      </c>
    </row>
    <row r="9" spans="1:10" ht="14.25" customHeight="1" x14ac:dyDescent="0.3">
      <c r="A9" t="str">
        <f t="shared" si="0"/>
        <v>ELIZABETH FERN</v>
      </c>
      <c r="B9" s="1" t="s">
        <v>31</v>
      </c>
      <c r="C9" s="1" t="s">
        <v>32</v>
      </c>
      <c r="D9" s="2">
        <v>37841</v>
      </c>
      <c r="E9" s="4" t="s">
        <v>33</v>
      </c>
      <c r="F9" s="6">
        <f t="shared" ca="1" si="1"/>
        <v>23</v>
      </c>
      <c r="G9" s="4" t="s">
        <v>34</v>
      </c>
      <c r="H9" t="str">
        <f t="shared" si="2"/>
        <v>2511</v>
      </c>
      <c r="I9" t="str">
        <f t="shared" si="3"/>
        <v>HQ</v>
      </c>
      <c r="J9" t="str">
        <f t="shared" si="4"/>
        <v>ELIZABETH_FERN@companyname.com</v>
      </c>
    </row>
    <row r="10" spans="1:10" ht="14.25" customHeight="1" x14ac:dyDescent="0.3">
      <c r="A10" t="str">
        <f t="shared" si="0"/>
        <v>JANET ELLIS</v>
      </c>
      <c r="B10" s="1" t="s">
        <v>35</v>
      </c>
      <c r="C10" s="1" t="s">
        <v>36</v>
      </c>
      <c r="D10" s="2">
        <v>38982</v>
      </c>
      <c r="E10" s="4" t="s">
        <v>29</v>
      </c>
      <c r="F10" s="6">
        <f t="shared" ca="1" si="1"/>
        <v>19</v>
      </c>
      <c r="G10" s="4" t="s">
        <v>37</v>
      </c>
      <c r="H10" t="str">
        <f t="shared" si="2"/>
        <v>2665</v>
      </c>
      <c r="I10" t="str">
        <f t="shared" si="3"/>
        <v>HQ</v>
      </c>
      <c r="J10" t="str">
        <f t="shared" si="4"/>
        <v>JANET_ELLIS@companyname.com</v>
      </c>
    </row>
    <row r="11" spans="1:10" ht="14.25" customHeight="1" x14ac:dyDescent="0.3">
      <c r="A11" t="str">
        <f t="shared" si="0"/>
        <v>BOB CHUNG</v>
      </c>
      <c r="B11" s="1" t="s">
        <v>38</v>
      </c>
      <c r="C11" s="1" t="s">
        <v>39</v>
      </c>
      <c r="D11" s="2">
        <v>39769</v>
      </c>
      <c r="E11" s="4" t="s">
        <v>29</v>
      </c>
      <c r="F11" s="6">
        <f t="shared" ca="1" si="1"/>
        <v>17</v>
      </c>
      <c r="G11" s="4" t="s">
        <v>40</v>
      </c>
      <c r="H11" t="str">
        <f t="shared" si="2"/>
        <v>2667</v>
      </c>
      <c r="I11" t="str">
        <f t="shared" si="3"/>
        <v>HQ</v>
      </c>
      <c r="J11" t="str">
        <f t="shared" si="4"/>
        <v>BOB_CHUNG@companyname.com</v>
      </c>
    </row>
    <row r="12" spans="1:10" ht="14.25" customHeight="1" x14ac:dyDescent="0.3">
      <c r="A12" t="str">
        <f t="shared" si="0"/>
        <v>SABRINA FLANDERS</v>
      </c>
      <c r="B12" s="1" t="s">
        <v>41</v>
      </c>
      <c r="C12" s="1" t="s">
        <v>42</v>
      </c>
      <c r="D12" s="2">
        <v>39965</v>
      </c>
      <c r="E12" s="4" t="s">
        <v>21</v>
      </c>
      <c r="F12" s="6">
        <f t="shared" ca="1" si="1"/>
        <v>17</v>
      </c>
      <c r="G12" s="4" t="s">
        <v>43</v>
      </c>
      <c r="H12" t="str">
        <f t="shared" si="2"/>
        <v>2967</v>
      </c>
      <c r="I12" t="str">
        <f t="shared" si="3"/>
        <v>Central</v>
      </c>
      <c r="J12" t="str">
        <f t="shared" si="4"/>
        <v>SABRINA_FLANDERS@companyname.com</v>
      </c>
    </row>
    <row r="13" spans="1:10" ht="14.25" customHeight="1" x14ac:dyDescent="0.3">
      <c r="A13" t="str">
        <f t="shared" si="0"/>
        <v>JOHN CLARK</v>
      </c>
      <c r="B13" s="1" t="s">
        <v>44</v>
      </c>
      <c r="C13" s="1" t="s">
        <v>45</v>
      </c>
      <c r="D13" s="2">
        <v>39330</v>
      </c>
      <c r="E13" s="4" t="s">
        <v>29</v>
      </c>
      <c r="F13" s="6">
        <f t="shared" ca="1" si="1"/>
        <v>18</v>
      </c>
      <c r="G13" s="4" t="s">
        <v>46</v>
      </c>
      <c r="H13" t="str">
        <f t="shared" si="2"/>
        <v>2700</v>
      </c>
      <c r="I13" t="str">
        <f t="shared" si="3"/>
        <v>HQ</v>
      </c>
      <c r="J13" t="str">
        <f t="shared" si="4"/>
        <v>JOHN_CLARK@companyname.com</v>
      </c>
    </row>
    <row r="14" spans="1:10" ht="14.25" customHeight="1" x14ac:dyDescent="0.3">
      <c r="A14" t="str">
        <f t="shared" si="0"/>
        <v>MARY BOLLER</v>
      </c>
      <c r="B14" s="1" t="s">
        <v>47</v>
      </c>
      <c r="C14" s="1" t="s">
        <v>48</v>
      </c>
      <c r="D14" s="2">
        <v>37043</v>
      </c>
      <c r="E14" s="4" t="s">
        <v>29</v>
      </c>
      <c r="F14" s="6">
        <f t="shared" ca="1" si="1"/>
        <v>25</v>
      </c>
      <c r="G14" s="4" t="s">
        <v>49</v>
      </c>
      <c r="H14" t="str">
        <f t="shared" si="2"/>
        <v>2678</v>
      </c>
      <c r="I14" t="str">
        <f t="shared" si="3"/>
        <v>HQ</v>
      </c>
      <c r="J14" t="str">
        <f t="shared" si="4"/>
        <v>MARY_BOLLER@companyname.com</v>
      </c>
    </row>
    <row r="15" spans="1:10" ht="14.25" customHeight="1" x14ac:dyDescent="0.3">
      <c r="A15" t="str">
        <f t="shared" si="0"/>
        <v>ELIZABETH CAROL</v>
      </c>
      <c r="B15" s="1" t="s">
        <v>50</v>
      </c>
      <c r="C15" s="1" t="s">
        <v>32</v>
      </c>
      <c r="D15" s="2">
        <v>39575</v>
      </c>
      <c r="E15" s="4" t="s">
        <v>51</v>
      </c>
      <c r="F15" s="6">
        <f t="shared" ca="1" si="1"/>
        <v>18</v>
      </c>
      <c r="G15" s="4" t="s">
        <v>52</v>
      </c>
      <c r="H15" t="str">
        <f t="shared" si="2"/>
        <v>2089</v>
      </c>
      <c r="I15" t="str">
        <f t="shared" si="3"/>
        <v>HQ</v>
      </c>
      <c r="J15" t="str">
        <f t="shared" si="4"/>
        <v>ELIZABETH_CAROL@companyname.com</v>
      </c>
    </row>
    <row r="16" spans="1:10" ht="14.25" customHeight="1" x14ac:dyDescent="0.3">
      <c r="A16" t="str">
        <f t="shared" si="0"/>
        <v>ANNA CLARK</v>
      </c>
      <c r="B16" s="1" t="s">
        <v>44</v>
      </c>
      <c r="C16" s="1" t="s">
        <v>53</v>
      </c>
      <c r="D16" s="2">
        <v>37895</v>
      </c>
      <c r="E16" s="4" t="s">
        <v>21</v>
      </c>
      <c r="F16" s="6">
        <f t="shared" ca="1" si="1"/>
        <v>22</v>
      </c>
      <c r="G16" s="4" t="s">
        <v>54</v>
      </c>
      <c r="H16" t="str">
        <f t="shared" si="2"/>
        <v>2547</v>
      </c>
      <c r="I16" t="str">
        <f t="shared" si="3"/>
        <v>Central</v>
      </c>
      <c r="J16" t="str">
        <f t="shared" si="4"/>
        <v>ANNA_CLARK@companyname.com</v>
      </c>
    </row>
    <row r="17" spans="1:10" ht="14.25" customHeight="1" x14ac:dyDescent="0.3">
      <c r="A17" t="str">
        <f t="shared" si="0"/>
        <v>JOE CLARKE</v>
      </c>
      <c r="B17" s="1" t="s">
        <v>55</v>
      </c>
      <c r="C17" s="1" t="s">
        <v>56</v>
      </c>
      <c r="D17" s="2">
        <v>38065</v>
      </c>
      <c r="E17" s="4" t="s">
        <v>57</v>
      </c>
      <c r="F17" s="6">
        <f t="shared" ca="1" si="1"/>
        <v>22</v>
      </c>
      <c r="G17" s="4" t="s">
        <v>58</v>
      </c>
      <c r="H17" t="str">
        <f t="shared" si="2"/>
        <v>2109</v>
      </c>
      <c r="I17" t="str">
        <f t="shared" si="3"/>
        <v>HQ</v>
      </c>
      <c r="J17" t="str">
        <f t="shared" si="4"/>
        <v>JOE_CLARKE@companyname.com</v>
      </c>
    </row>
    <row r="18" spans="1:10" ht="14.25" customHeight="1" x14ac:dyDescent="0.3">
      <c r="A18" t="str">
        <f t="shared" si="0"/>
        <v>MARK COMUNTZIS</v>
      </c>
      <c r="B18" s="1" t="s">
        <v>59</v>
      </c>
      <c r="C18" s="1" t="s">
        <v>60</v>
      </c>
      <c r="D18" s="2">
        <v>38489</v>
      </c>
      <c r="E18" s="4" t="s">
        <v>17</v>
      </c>
      <c r="F18" s="6">
        <f t="shared" ca="1" si="1"/>
        <v>21</v>
      </c>
      <c r="G18" s="4" t="s">
        <v>61</v>
      </c>
      <c r="H18" t="str">
        <f t="shared" si="2"/>
        <v>2046</v>
      </c>
      <c r="I18" t="str">
        <f t="shared" si="3"/>
        <v>Central</v>
      </c>
      <c r="J18" t="str">
        <f t="shared" si="4"/>
        <v>MARK_COMUNTZIS@companyname.com</v>
      </c>
    </row>
    <row r="19" spans="1:10" ht="14.25" customHeight="1" x14ac:dyDescent="0.3">
      <c r="A19" t="str">
        <f t="shared" si="0"/>
        <v>ALEXANDRA FILOSA</v>
      </c>
      <c r="B19" s="1" t="s">
        <v>62</v>
      </c>
      <c r="C19" s="1" t="s">
        <v>63</v>
      </c>
      <c r="D19" s="2">
        <v>37546</v>
      </c>
      <c r="E19" s="4" t="s">
        <v>17</v>
      </c>
      <c r="F19" s="6">
        <f t="shared" ca="1" si="1"/>
        <v>23</v>
      </c>
      <c r="G19" s="4" t="s">
        <v>64</v>
      </c>
      <c r="H19" t="str">
        <f t="shared" si="2"/>
        <v>2046</v>
      </c>
      <c r="I19" t="str">
        <f t="shared" si="3"/>
        <v>Central</v>
      </c>
      <c r="J19" t="str">
        <f t="shared" si="4"/>
        <v>ALEXANDRA_FILOSA@companyname.com</v>
      </c>
    </row>
    <row r="20" spans="1:10" ht="14.25" customHeight="1" x14ac:dyDescent="0.3">
      <c r="A20" t="str">
        <f t="shared" si="0"/>
        <v>JIM FERRIS</v>
      </c>
      <c r="B20" s="1" t="s">
        <v>65</v>
      </c>
      <c r="C20" s="1" t="s">
        <v>66</v>
      </c>
      <c r="D20" s="2">
        <v>37350</v>
      </c>
      <c r="E20" s="4" t="s">
        <v>29</v>
      </c>
      <c r="F20" s="6">
        <f t="shared" ca="1" si="1"/>
        <v>24</v>
      </c>
      <c r="G20" s="4" t="s">
        <v>67</v>
      </c>
      <c r="H20" t="str">
        <f t="shared" si="2"/>
        <v>2688</v>
      </c>
      <c r="I20" t="str">
        <f t="shared" si="3"/>
        <v>HQ</v>
      </c>
      <c r="J20" t="str">
        <f t="shared" si="4"/>
        <v>JIM_FERRIS@companyname.com</v>
      </c>
    </row>
    <row r="21" spans="1:10" ht="14.25" customHeight="1" x14ac:dyDescent="0.3">
      <c r="A21" t="str">
        <f t="shared" si="0"/>
        <v>LAURIE CHU</v>
      </c>
      <c r="B21" s="1" t="s">
        <v>68</v>
      </c>
      <c r="C21" s="1" t="s">
        <v>69</v>
      </c>
      <c r="D21" s="2">
        <v>39022</v>
      </c>
      <c r="E21" s="4" t="s">
        <v>21</v>
      </c>
      <c r="F21" s="6">
        <f t="shared" ca="1" si="1"/>
        <v>19</v>
      </c>
      <c r="G21" s="4" t="s">
        <v>70</v>
      </c>
      <c r="H21" t="str">
        <f t="shared" si="2"/>
        <v>2546</v>
      </c>
      <c r="I21" t="str">
        <f t="shared" si="3"/>
        <v>Central</v>
      </c>
      <c r="J21" t="str">
        <f t="shared" si="4"/>
        <v>LAURIE_CHU@companyname.com</v>
      </c>
    </row>
    <row r="22" spans="1:10" ht="14.25" customHeight="1" x14ac:dyDescent="0.3">
      <c r="A22" t="str">
        <f t="shared" si="0"/>
        <v>FRED CHASE</v>
      </c>
      <c r="B22" s="1" t="s">
        <v>71</v>
      </c>
      <c r="C22" s="1" t="s">
        <v>72</v>
      </c>
      <c r="D22" s="2">
        <v>39797</v>
      </c>
      <c r="E22" s="4" t="s">
        <v>33</v>
      </c>
      <c r="F22" s="6">
        <f t="shared" ca="1" si="1"/>
        <v>17</v>
      </c>
      <c r="G22" s="4" t="s">
        <v>73</v>
      </c>
      <c r="H22" t="str">
        <f t="shared" si="2"/>
        <v>2478</v>
      </c>
      <c r="I22" t="str">
        <f t="shared" si="3"/>
        <v>HQ</v>
      </c>
      <c r="J22" t="str">
        <f t="shared" si="4"/>
        <v>FRED_CHASE@companyname.com</v>
      </c>
    </row>
    <row r="23" spans="1:10" ht="14.25" customHeight="1" x14ac:dyDescent="0.3">
      <c r="A23" t="str">
        <f t="shared" si="0"/>
        <v>MARY BINGA</v>
      </c>
      <c r="B23" s="1" t="s">
        <v>74</v>
      </c>
      <c r="C23" s="1" t="s">
        <v>48</v>
      </c>
      <c r="D23" s="2">
        <v>39205</v>
      </c>
      <c r="E23" s="4" t="s">
        <v>33</v>
      </c>
      <c r="F23" s="6">
        <f t="shared" ca="1" si="1"/>
        <v>19</v>
      </c>
      <c r="G23" s="4" t="s">
        <v>75</v>
      </c>
      <c r="H23" t="str">
        <f t="shared" si="2"/>
        <v>2055</v>
      </c>
      <c r="I23" t="str">
        <f t="shared" si="3"/>
        <v>HQ</v>
      </c>
      <c r="J23" t="str">
        <f t="shared" si="4"/>
        <v>MARY_BINGA@companyname.com</v>
      </c>
    </row>
    <row r="24" spans="1:10" ht="14.25" customHeight="1" x14ac:dyDescent="0.3">
      <c r="A24" t="str">
        <f t="shared" si="0"/>
        <v>BARBARA DESIATO</v>
      </c>
      <c r="B24" s="1" t="s">
        <v>76</v>
      </c>
      <c r="C24" s="1" t="s">
        <v>77</v>
      </c>
      <c r="D24" s="2">
        <v>40343</v>
      </c>
      <c r="E24" s="1" t="s">
        <v>13</v>
      </c>
      <c r="F24" s="6">
        <f t="shared" ca="1" si="1"/>
        <v>16</v>
      </c>
      <c r="G24" s="4" t="s">
        <v>78</v>
      </c>
      <c r="H24" t="str">
        <f t="shared" si="2"/>
        <v>2326</v>
      </c>
      <c r="I24" t="str">
        <f t="shared" si="3"/>
        <v>Lab</v>
      </c>
      <c r="J24" t="str">
        <f t="shared" si="4"/>
        <v>BARBARA_DESIATO@companyname.com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Sonali Verma</cp:lastModifiedBy>
  <dcterms:created xsi:type="dcterms:W3CDTF">2007-05-07T13:48:37Z</dcterms:created>
  <dcterms:modified xsi:type="dcterms:W3CDTF">2026-08-21T16:46:44Z</dcterms:modified>
</cp:coreProperties>
</file>