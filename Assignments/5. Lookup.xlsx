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av\Downloads\"/>
    </mc:Choice>
  </mc:AlternateContent>
  <xr:revisionPtr revIDLastSave="0" documentId="13_ncr:1_{C17AD511-F00A-488B-9D72-910F15EDABE7}" xr6:coauthVersionLast="47" xr6:coauthVersionMax="47" xr10:uidLastSave="{00000000-0000-0000-0000-000000000000}"/>
  <bookViews>
    <workbookView xWindow="-108" yWindow="-108" windowWidth="23256" windowHeight="12456" xr2:uid="{80A2D1DF-9025-4F9A-841F-E1BCCFD46CBB}"/>
  </bookViews>
  <sheets>
    <sheet name="Vlookup" sheetId="1" r:id="rId1"/>
    <sheet name="Hlookup" sheetId="2" r:id="rId2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0" i="1" l="1"/>
  <c r="J17" i="1"/>
  <c r="J18" i="1"/>
  <c r="J19" i="1"/>
  <c r="J16" i="1"/>
  <c r="P17" i="1"/>
  <c r="P18" i="1"/>
  <c r="J11" i="1"/>
  <c r="J12" i="1"/>
  <c r="D10" i="2"/>
  <c r="D11" i="2"/>
  <c r="D9" i="2"/>
  <c r="G30" i="1"/>
  <c r="G31" i="1"/>
  <c r="G29" i="1"/>
  <c r="K7" i="1"/>
  <c r="K8" i="1"/>
  <c r="K6" i="1"/>
  <c r="J7" i="1"/>
  <c r="J8" i="1"/>
  <c r="J6" i="1"/>
</calcChain>
</file>

<file path=xl/sharedStrings.xml><?xml version="1.0" encoding="utf-8"?>
<sst xmlns="http://schemas.openxmlformats.org/spreadsheetml/2006/main" count="77" uniqueCount="25">
  <si>
    <t>Name</t>
  </si>
  <si>
    <t>Employee ID</t>
  </si>
  <si>
    <t>Bonus</t>
  </si>
  <si>
    <t>Salary</t>
  </si>
  <si>
    <t>Rajat L</t>
  </si>
  <si>
    <t>Namit J</t>
  </si>
  <si>
    <t>Kriya V</t>
  </si>
  <si>
    <t>Mohd Y</t>
  </si>
  <si>
    <t>Lokesh R</t>
  </si>
  <si>
    <t>Chris G</t>
  </si>
  <si>
    <t>Neha A</t>
  </si>
  <si>
    <t>Rakesh B</t>
  </si>
  <si>
    <t>Santosh B</t>
  </si>
  <si>
    <t>Vikas C</t>
  </si>
  <si>
    <t>Vivek D</t>
  </si>
  <si>
    <t>Bharat G</t>
  </si>
  <si>
    <t>Nilesh S</t>
  </si>
  <si>
    <t>Hlookup</t>
  </si>
  <si>
    <t>without match</t>
  </si>
  <si>
    <t xml:space="preserve"> with match</t>
  </si>
  <si>
    <t xml:space="preserve"> Xlookup</t>
  </si>
  <si>
    <t>=XLOOKUP(lookup_value, lookup_array, return_array, [if_not_found], [match_mode], [search_mode])</t>
  </si>
  <si>
    <t>index+match</t>
  </si>
  <si>
    <t>col</t>
  </si>
  <si>
    <t>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</si>
</sst>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"/>
    <numFmt numFmtId="165" formatCode="&quot;₹&quot;\ #,##0.0"/>
  </numFmts>
  <fonts count="2" x14ac:knownFonts="1"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1" fillId="2" borderId="0" xfId="0" applyFont="1" applyFill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E5F70-740C-4AA9-BD80-A0DECEE1CDF0}">
  <dimension ref="C4:S31"/>
  <sheetViews>
    <sheetView showGridLines="0" tabSelected="1" zoomScale="96" zoomScaleNormal="130" workbookViewId="0">
      <selection activeCell="K17" sqref="K17"/>
    </sheetView>
  </sheetViews>
  <sheetFormatPr defaultRowHeight="14.4" x14ac:dyDescent="0.3"/>
  <cols>
    <col min="3" max="3" width="9" bestFit="1" customWidth="1"/>
    <col min="4" max="4" width="11.5546875" bestFit="1" customWidth="1"/>
    <col min="5" max="5" width="9.77734375" bestFit="1" customWidth="1"/>
    <col min="6" max="6" width="11.5546875" bestFit="1" customWidth="1"/>
    <col min="7" max="7" width="11.44140625" bestFit="1" customWidth="1"/>
    <col min="8" max="9" width="9.77734375" bestFit="1" customWidth="1"/>
    <col min="10" max="10" width="13.44140625" bestFit="1" customWidth="1"/>
    <col min="11" max="11" width="11" bestFit="1" customWidth="1"/>
    <col min="12" max="19" width="9.77734375" bestFit="1" customWidth="1"/>
  </cols>
  <sheetData>
    <row r="4" spans="3:13" x14ac:dyDescent="0.3">
      <c r="J4" t="s">
        <v>18</v>
      </c>
      <c r="K4" t="s">
        <v>19</v>
      </c>
      <c r="L4" t="s">
        <v>20</v>
      </c>
      <c r="M4" t="s">
        <v>21</v>
      </c>
    </row>
    <row r="5" spans="3:13" x14ac:dyDescent="0.3">
      <c r="C5" s="1" t="s">
        <v>0</v>
      </c>
      <c r="D5" s="4" t="s">
        <v>1</v>
      </c>
      <c r="E5" s="4" t="s">
        <v>3</v>
      </c>
      <c r="F5" s="4" t="s">
        <v>2</v>
      </c>
      <c r="I5" s="1" t="s">
        <v>0</v>
      </c>
      <c r="J5" s="1" t="s">
        <v>2</v>
      </c>
      <c r="K5" s="1" t="s">
        <v>3</v>
      </c>
    </row>
    <row r="6" spans="3:13" x14ac:dyDescent="0.3">
      <c r="C6" t="s">
        <v>4</v>
      </c>
      <c r="D6" s="3">
        <v>1190</v>
      </c>
      <c r="E6" s="5">
        <v>919738</v>
      </c>
      <c r="F6" s="5">
        <v>206941.05000000002</v>
      </c>
      <c r="I6" t="s">
        <v>6</v>
      </c>
      <c r="J6">
        <f>VLOOKUP(I6,$C$5:$F$18,4,FALSE)</f>
        <v>218315.7</v>
      </c>
      <c r="K6">
        <f>VLOOKUP(I6,$C$5:$F$18,MATCH($K$5,$C$5:$F$5,0),FALSE)</f>
        <v>970292</v>
      </c>
    </row>
    <row r="7" spans="3:13" x14ac:dyDescent="0.3">
      <c r="C7" t="s">
        <v>5</v>
      </c>
      <c r="D7" s="3">
        <v>1334</v>
      </c>
      <c r="E7" s="5">
        <v>868450</v>
      </c>
      <c r="F7" s="5">
        <v>195401.25</v>
      </c>
      <c r="I7" t="s">
        <v>10</v>
      </c>
      <c r="J7">
        <f t="shared" ref="J7:J8" si="0">VLOOKUP(I7,$C$5:$F$18,4,FALSE)</f>
        <v>168189.97500000001</v>
      </c>
      <c r="K7">
        <f t="shared" ref="K7:K8" si="1">VLOOKUP(I7,$C$5:$F$18,MATCH($K$5,$C$5:$F$5,0),FALSE)</f>
        <v>747511</v>
      </c>
    </row>
    <row r="8" spans="3:13" x14ac:dyDescent="0.3">
      <c r="C8" t="s">
        <v>6</v>
      </c>
      <c r="D8" s="3">
        <v>1631</v>
      </c>
      <c r="E8" s="5">
        <v>970292</v>
      </c>
      <c r="F8" s="5">
        <v>218315.7</v>
      </c>
      <c r="I8" t="s">
        <v>12</v>
      </c>
      <c r="J8">
        <f t="shared" si="0"/>
        <v>171998.77499999999</v>
      </c>
      <c r="K8">
        <f t="shared" si="1"/>
        <v>764439</v>
      </c>
    </row>
    <row r="9" spans="3:13" x14ac:dyDescent="0.3">
      <c r="C9" t="s">
        <v>7</v>
      </c>
      <c r="D9" s="3">
        <v>1163</v>
      </c>
      <c r="E9" s="5">
        <v>974125</v>
      </c>
      <c r="F9" s="5">
        <v>219178.125</v>
      </c>
    </row>
    <row r="10" spans="3:13" x14ac:dyDescent="0.3">
      <c r="C10" t="s">
        <v>8</v>
      </c>
      <c r="D10" s="3">
        <v>1454</v>
      </c>
      <c r="E10" s="5">
        <v>995086</v>
      </c>
      <c r="F10" s="5">
        <v>223894.35</v>
      </c>
      <c r="I10" t="s">
        <v>22</v>
      </c>
    </row>
    <row r="11" spans="3:13" x14ac:dyDescent="0.3">
      <c r="C11" t="s">
        <v>9</v>
      </c>
      <c r="D11" s="3">
        <v>1263</v>
      </c>
      <c r="E11" s="5">
        <v>996563</v>
      </c>
      <c r="F11" s="5">
        <v>224226.67500000002</v>
      </c>
      <c r="I11" t="s">
        <v>8</v>
      </c>
      <c r="J11">
        <f>INDEX(C6:F18,5,MATCH($E$5,$C$5:F5,0))</f>
        <v>995086</v>
      </c>
    </row>
    <row r="12" spans="3:13" x14ac:dyDescent="0.3">
      <c r="C12" t="s">
        <v>10</v>
      </c>
      <c r="D12" s="3">
        <v>1767</v>
      </c>
      <c r="E12" s="5">
        <v>747511</v>
      </c>
      <c r="F12" s="5">
        <v>168189.97500000001</v>
      </c>
      <c r="I12" t="s">
        <v>10</v>
      </c>
      <c r="J12">
        <f>INDEX(C7:F19,7,MATCH(E6,C6:F6,0))</f>
        <v>735280</v>
      </c>
    </row>
    <row r="13" spans="3:13" x14ac:dyDescent="0.3">
      <c r="C13" t="s">
        <v>11</v>
      </c>
      <c r="D13" s="3">
        <v>1666</v>
      </c>
      <c r="E13" s="5">
        <v>735280</v>
      </c>
      <c r="F13" s="5">
        <v>165438</v>
      </c>
    </row>
    <row r="14" spans="3:13" x14ac:dyDescent="0.3">
      <c r="C14" t="s">
        <v>12</v>
      </c>
      <c r="D14" s="3">
        <v>1255</v>
      </c>
      <c r="E14" s="5">
        <v>764439</v>
      </c>
      <c r="F14" s="5">
        <v>171998.77499999999</v>
      </c>
    </row>
    <row r="15" spans="3:13" x14ac:dyDescent="0.3">
      <c r="C15" t="s">
        <v>13</v>
      </c>
      <c r="D15" s="3">
        <v>1352</v>
      </c>
      <c r="E15" s="5">
        <v>917987</v>
      </c>
      <c r="F15" s="5">
        <v>206547.07500000001</v>
      </c>
      <c r="H15" s="2"/>
    </row>
    <row r="16" spans="3:13" x14ac:dyDescent="0.3">
      <c r="C16" t="s">
        <v>14</v>
      </c>
      <c r="D16" s="3">
        <v>1512</v>
      </c>
      <c r="E16" s="5">
        <v>778095</v>
      </c>
      <c r="F16" s="5">
        <v>175071.375</v>
      </c>
      <c r="I16">
        <v>1631</v>
      </c>
      <c r="J16" s="7">
        <f>INDEX($C$6:$F$18,MATCH(I16,$D$6:$D$18,0),MATCH($E$5,$C$5:$F$5,0))</f>
        <v>970292</v>
      </c>
    </row>
    <row r="17" spans="3:19" x14ac:dyDescent="0.3">
      <c r="C17" t="s">
        <v>15</v>
      </c>
      <c r="D17" s="3">
        <v>1120</v>
      </c>
      <c r="E17" s="5">
        <v>963652</v>
      </c>
      <c r="F17" s="5">
        <v>216821.7</v>
      </c>
      <c r="I17">
        <v>1352</v>
      </c>
      <c r="J17" s="7">
        <f t="shared" ref="J17:J20" si="2">INDEX($C$6:$F$18,MATCH(I17,$D$6:$D$18,0),MATCH($E$5,$C$5:$F$5,0))</f>
        <v>917987</v>
      </c>
      <c r="P17">
        <f>MATCH($E$5,$C$5:F5,0)</f>
        <v>3</v>
      </c>
      <c r="Q17" t="s">
        <v>23</v>
      </c>
    </row>
    <row r="18" spans="3:19" x14ac:dyDescent="0.3">
      <c r="C18" t="s">
        <v>16</v>
      </c>
      <c r="D18" s="3">
        <v>1927</v>
      </c>
      <c r="E18" s="5">
        <v>709624</v>
      </c>
      <c r="F18" s="5">
        <v>159665.4</v>
      </c>
      <c r="I18">
        <v>1120</v>
      </c>
      <c r="J18" s="7">
        <f t="shared" si="2"/>
        <v>963652</v>
      </c>
      <c r="P18">
        <f>MATCH($I$16,D6:$D$18,0)</f>
        <v>3</v>
      </c>
      <c r="Q18" t="s">
        <v>24</v>
      </c>
    </row>
    <row r="19" spans="3:19" x14ac:dyDescent="0.3">
      <c r="I19">
        <v>1334</v>
      </c>
      <c r="J19" s="7">
        <f t="shared" si="2"/>
        <v>868450</v>
      </c>
    </row>
    <row r="20" spans="3:19" x14ac:dyDescent="0.3">
      <c r="I20">
        <v>1352</v>
      </c>
      <c r="J20" s="7">
        <f t="shared" si="2"/>
        <v>917987</v>
      </c>
    </row>
    <row r="23" spans="3:19" x14ac:dyDescent="0.3">
      <c r="F23" s="1" t="s">
        <v>0</v>
      </c>
      <c r="G23" t="s">
        <v>4</v>
      </c>
      <c r="H23" t="s">
        <v>5</v>
      </c>
      <c r="I23" t="s">
        <v>6</v>
      </c>
      <c r="J23" t="s">
        <v>7</v>
      </c>
      <c r="K23" t="s">
        <v>8</v>
      </c>
      <c r="L23" t="s">
        <v>9</v>
      </c>
      <c r="M23" t="s">
        <v>10</v>
      </c>
      <c r="N23" t="s">
        <v>11</v>
      </c>
      <c r="O23" t="s">
        <v>12</v>
      </c>
      <c r="P23" t="s">
        <v>13</v>
      </c>
      <c r="Q23" t="s">
        <v>14</v>
      </c>
      <c r="R23" t="s">
        <v>15</v>
      </c>
      <c r="S23" t="s">
        <v>16</v>
      </c>
    </row>
    <row r="24" spans="3:19" x14ac:dyDescent="0.3">
      <c r="F24" s="4" t="s">
        <v>1</v>
      </c>
      <c r="G24" s="3">
        <v>1190</v>
      </c>
      <c r="H24" s="3">
        <v>1334</v>
      </c>
      <c r="I24" s="3">
        <v>1631</v>
      </c>
      <c r="J24" s="3">
        <v>1163</v>
      </c>
      <c r="K24" s="3">
        <v>1454</v>
      </c>
      <c r="L24" s="3">
        <v>1263</v>
      </c>
      <c r="M24" s="3">
        <v>1767</v>
      </c>
      <c r="N24" s="3">
        <v>1666</v>
      </c>
      <c r="O24" s="3">
        <v>1255</v>
      </c>
      <c r="P24" s="3">
        <v>1352</v>
      </c>
      <c r="Q24" s="3">
        <v>1512</v>
      </c>
      <c r="R24" s="3">
        <v>1120</v>
      </c>
      <c r="S24" s="3">
        <v>1927</v>
      </c>
    </row>
    <row r="25" spans="3:19" x14ac:dyDescent="0.3">
      <c r="F25" s="4" t="s">
        <v>3</v>
      </c>
      <c r="G25" s="5">
        <v>919738</v>
      </c>
      <c r="H25" s="5">
        <v>868450</v>
      </c>
      <c r="I25" s="5">
        <v>970292</v>
      </c>
      <c r="J25" s="5">
        <v>974125</v>
      </c>
      <c r="K25" s="5">
        <v>995086</v>
      </c>
      <c r="L25" s="5">
        <v>996563</v>
      </c>
      <c r="M25" s="5">
        <v>747511</v>
      </c>
      <c r="N25" s="5">
        <v>735280</v>
      </c>
      <c r="O25" s="5">
        <v>764439</v>
      </c>
      <c r="P25" s="5">
        <v>917987</v>
      </c>
      <c r="Q25" s="5">
        <v>778095</v>
      </c>
      <c r="R25" s="5">
        <v>963652</v>
      </c>
      <c r="S25" s="5">
        <v>709624</v>
      </c>
    </row>
    <row r="26" spans="3:19" x14ac:dyDescent="0.3">
      <c r="F26" s="4" t="s">
        <v>2</v>
      </c>
      <c r="G26" s="5">
        <v>206941.05000000002</v>
      </c>
      <c r="H26" s="5">
        <v>195401.25</v>
      </c>
      <c r="I26" s="5">
        <v>218315.7</v>
      </c>
      <c r="J26" s="5">
        <v>219178.125</v>
      </c>
      <c r="K26" s="5">
        <v>223894.35</v>
      </c>
      <c r="L26" s="5">
        <v>224226.67500000002</v>
      </c>
      <c r="M26" s="5">
        <v>168189.97500000001</v>
      </c>
      <c r="N26" s="5">
        <v>165438</v>
      </c>
      <c r="O26" s="5">
        <v>171998.77499999999</v>
      </c>
      <c r="P26" s="5">
        <v>206547.07500000001</v>
      </c>
      <c r="Q26" s="5">
        <v>175071.375</v>
      </c>
      <c r="R26" s="5">
        <v>216821.7</v>
      </c>
      <c r="S26" s="5">
        <v>159665.4</v>
      </c>
    </row>
    <row r="28" spans="3:19" x14ac:dyDescent="0.3">
      <c r="F28" s="4" t="s">
        <v>0</v>
      </c>
      <c r="G28" s="4" t="s">
        <v>2</v>
      </c>
    </row>
    <row r="29" spans="3:19" x14ac:dyDescent="0.3">
      <c r="F29" t="s">
        <v>7</v>
      </c>
      <c r="G29">
        <f>HLOOKUP(F29,$F$23:$S$26,MATCH($G$28,$F$23:$F$26,0),FALSE)</f>
        <v>219178.125</v>
      </c>
    </row>
    <row r="30" spans="3:19" x14ac:dyDescent="0.3">
      <c r="F30" t="s">
        <v>9</v>
      </c>
      <c r="G30">
        <f t="shared" ref="G30:G31" si="3">HLOOKUP(F30,$F$23:$S$26,MATCH($G$28,$F$23:$F$26,0),FALSE)</f>
        <v>224226.67500000002</v>
      </c>
    </row>
    <row r="31" spans="3:19" x14ac:dyDescent="0.3">
      <c r="F31" t="s">
        <v>14</v>
      </c>
      <c r="G31">
        <f t="shared" si="3"/>
        <v>175071.375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FF273-7F53-487F-8180-18C0890221C0}">
  <dimension ref="C2:P11"/>
  <sheetViews>
    <sheetView showGridLines="0" zoomScale="130" zoomScaleNormal="130" workbookViewId="0">
      <selection activeCell="D9" sqref="D9:D11"/>
    </sheetView>
  </sheetViews>
  <sheetFormatPr defaultRowHeight="14.4" x14ac:dyDescent="0.3"/>
  <cols>
    <col min="3" max="3" width="12.109375" bestFit="1" customWidth="1"/>
    <col min="4" max="4" width="12" bestFit="1" customWidth="1"/>
    <col min="5" max="9" width="10.33203125" bestFit="1" customWidth="1"/>
    <col min="10" max="10" width="11" bestFit="1" customWidth="1"/>
    <col min="11" max="16" width="10.33203125" bestFit="1" customWidth="1"/>
  </cols>
  <sheetData>
    <row r="2" spans="3:16" x14ac:dyDescent="0.3">
      <c r="C2" t="s">
        <v>17</v>
      </c>
    </row>
    <row r="3" spans="3:16" x14ac:dyDescent="0.3">
      <c r="C3" s="1" t="s">
        <v>0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</row>
    <row r="4" spans="3:16" x14ac:dyDescent="0.3">
      <c r="C4" s="1" t="s">
        <v>1</v>
      </c>
      <c r="D4" s="3">
        <v>1190</v>
      </c>
      <c r="E4" s="3">
        <v>1334</v>
      </c>
      <c r="F4" s="3">
        <v>1631</v>
      </c>
      <c r="G4" s="3">
        <v>1163</v>
      </c>
      <c r="H4" s="3">
        <v>1454</v>
      </c>
      <c r="I4" s="3">
        <v>1263</v>
      </c>
      <c r="J4" s="3">
        <v>1767</v>
      </c>
      <c r="K4" s="3">
        <v>1666</v>
      </c>
      <c r="L4" s="3">
        <v>1255</v>
      </c>
      <c r="M4" s="3">
        <v>1352</v>
      </c>
      <c r="N4" s="3">
        <v>1512</v>
      </c>
      <c r="O4" s="3">
        <v>1120</v>
      </c>
      <c r="P4" s="3">
        <v>1927</v>
      </c>
    </row>
    <row r="5" spans="3:16" x14ac:dyDescent="0.3">
      <c r="C5" s="1" t="s">
        <v>3</v>
      </c>
      <c r="D5" s="5">
        <v>919738</v>
      </c>
      <c r="E5" s="5">
        <v>868450</v>
      </c>
      <c r="F5" s="5">
        <v>970292</v>
      </c>
      <c r="G5" s="5">
        <v>974125</v>
      </c>
      <c r="H5" s="5">
        <v>995086</v>
      </c>
      <c r="I5" s="5">
        <v>996563</v>
      </c>
      <c r="J5" s="5">
        <v>747511</v>
      </c>
      <c r="K5" s="5">
        <v>735280</v>
      </c>
      <c r="L5" s="5">
        <v>764439</v>
      </c>
      <c r="M5" s="5">
        <v>917987</v>
      </c>
      <c r="N5" s="5">
        <v>778095</v>
      </c>
      <c r="O5" s="5">
        <v>963652</v>
      </c>
      <c r="P5" s="5">
        <v>709624</v>
      </c>
    </row>
    <row r="6" spans="3:16" x14ac:dyDescent="0.3">
      <c r="C6" s="1" t="s">
        <v>2</v>
      </c>
      <c r="D6" s="5">
        <v>206941.05000000002</v>
      </c>
      <c r="E6" s="5">
        <v>195401.25</v>
      </c>
      <c r="F6" s="5">
        <v>218315.7</v>
      </c>
      <c r="G6" s="5">
        <v>219178.125</v>
      </c>
      <c r="H6" s="5">
        <v>223894.35</v>
      </c>
      <c r="I6" s="5">
        <v>224226.67500000002</v>
      </c>
      <c r="J6" s="6">
        <v>168189.97500000001</v>
      </c>
      <c r="K6" s="5">
        <v>165438</v>
      </c>
      <c r="L6" s="5">
        <v>171998.77499999999</v>
      </c>
      <c r="M6" s="5">
        <v>206547.07500000001</v>
      </c>
      <c r="N6" s="5">
        <v>175071.375</v>
      </c>
      <c r="O6" s="5">
        <v>216821.7</v>
      </c>
      <c r="P6" s="5">
        <v>159665.4</v>
      </c>
    </row>
    <row r="8" spans="3:16" x14ac:dyDescent="0.3">
      <c r="C8" s="1" t="s">
        <v>0</v>
      </c>
      <c r="D8" s="1" t="s">
        <v>2</v>
      </c>
    </row>
    <row r="9" spans="3:16" x14ac:dyDescent="0.3">
      <c r="C9" s="3" t="s">
        <v>4</v>
      </c>
      <c r="D9" s="5">
        <f>HLOOKUP(C9,$C$3:$P$6,MATCH($D$8,$C$3:$C$6,0),FALSE)</f>
        <v>206941.05000000002</v>
      </c>
    </row>
    <row r="10" spans="3:16" x14ac:dyDescent="0.3">
      <c r="C10" s="3" t="s">
        <v>8</v>
      </c>
      <c r="D10" s="5">
        <f t="shared" ref="D10:D11" si="0">HLOOKUP(C10,$C$3:$P$6,MATCH($D$8,$C$3:$C$6,0),FALSE)</f>
        <v>223894.35</v>
      </c>
    </row>
    <row r="11" spans="3:16" x14ac:dyDescent="0.3">
      <c r="C11" s="3" t="s">
        <v>10</v>
      </c>
      <c r="D11" s="5">
        <f t="shared" si="0"/>
        <v>168189.97500000001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Vlookup</vt:lpstr>
      <vt:lpstr>Hlookup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Verma</dc:creator>
  <cp:lastModifiedBy>Sonali Verma</cp:lastModifiedBy>
  <dcterms:created xsi:type="dcterms:W3CDTF">2023-10-11T06:57:07Z</dcterms:created>
  <dcterms:modified xsi:type="dcterms:W3CDTF">2026-08-19T07:30:35Z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{FA3B27F2-9E52-40A5-BB57-C126BF0D8EE9}</vt:lpwstr>
  </property>
</Properties>
</file>