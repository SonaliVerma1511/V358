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f5269e412419e72/Documents/Excel ITvedant/Class Files/"/>
    </mc:Choice>
  </mc:AlternateContent>
  <xr:revisionPtr revIDLastSave="0" documentId="13_ncr:1_{8E1D035B-A72A-4089-AE68-25B632F44DD7}" xr6:coauthVersionLast="47" xr6:coauthVersionMax="47" xr10:uidLastSave="{00000000-0000-0000-0000-000000000000}"/>
  <bookViews>
    <workbookView xWindow="1152" yWindow="1152" windowWidth="17280" windowHeight="10068" xr2:uid="{00000000-000D-0000-FFFF-FFFF00000000}"/>
  </bookViews>
  <sheets>
    <sheet name="Sheet1" sheetId="1" r:id="rId1"/>
  </sheets>
  <definedNames>
    <definedName name="_xlnm._FilterDatabase" localSheetId="0" hidden="1">Sheet1!$A$1:$AL$301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AE7" i="1"/>
  <c r="AE8" i="1"/>
  <c r="AE6" i="1"/>
  <c r="AD7" i="1"/>
  <c r="AD8" i="1"/>
  <c r="AD6" i="1"/>
  <c r="F7" i="1"/>
  <c r="F8" i="1"/>
  <c r="F19" i="1"/>
  <c r="F20" i="1"/>
  <c r="F31" i="1"/>
  <c r="F44" i="1"/>
  <c r="F67" i="1"/>
  <c r="F68" i="1"/>
  <c r="F79" i="1"/>
  <c r="F80" i="1"/>
  <c r="F91" i="1"/>
  <c r="F92" i="1"/>
  <c r="F104" i="1"/>
  <c r="F127" i="1"/>
  <c r="F128" i="1"/>
  <c r="F139" i="1"/>
  <c r="F140" i="1"/>
  <c r="F151" i="1"/>
  <c r="F175" i="1"/>
  <c r="F187" i="1"/>
  <c r="F188" i="1"/>
  <c r="F193" i="1"/>
  <c r="F194" i="1"/>
  <c r="F197" i="1"/>
  <c r="F211" i="1"/>
  <c r="F212" i="1"/>
  <c r="F223" i="1"/>
  <c r="F224" i="1"/>
  <c r="F229" i="1"/>
  <c r="F230" i="1"/>
  <c r="F233" i="1"/>
  <c r="F247" i="1"/>
  <c r="F248" i="1"/>
  <c r="F257" i="1"/>
  <c r="F258" i="1"/>
  <c r="F269" i="1"/>
  <c r="F271" i="1"/>
  <c r="F283" i="1"/>
  <c r="F284" i="1"/>
  <c r="F293" i="1"/>
  <c r="F294" i="1"/>
  <c r="F295" i="1"/>
  <c r="F296" i="1"/>
  <c r="H7" i="1"/>
  <c r="H19" i="1"/>
  <c r="H31" i="1"/>
  <c r="H32" i="1"/>
  <c r="H44" i="1"/>
  <c r="H55" i="1"/>
  <c r="H56" i="1"/>
  <c r="H61" i="1"/>
  <c r="H67" i="1"/>
  <c r="H79" i="1"/>
  <c r="H91" i="1"/>
  <c r="H92" i="1"/>
  <c r="H115" i="1"/>
  <c r="H116" i="1"/>
  <c r="H127" i="1"/>
  <c r="H128" i="1"/>
  <c r="H140" i="1"/>
  <c r="H151" i="1"/>
  <c r="H152" i="1"/>
  <c r="H163" i="1"/>
  <c r="H175" i="1"/>
  <c r="H176" i="1"/>
  <c r="H181" i="1"/>
  <c r="H182" i="1"/>
  <c r="H188" i="1"/>
  <c r="H211" i="1"/>
  <c r="H212" i="1"/>
  <c r="H223" i="1"/>
  <c r="H224" i="1"/>
  <c r="H236" i="1"/>
  <c r="H245" i="1"/>
  <c r="H246" i="1"/>
  <c r="H259" i="1"/>
  <c r="H260" i="1"/>
  <c r="H265" i="1"/>
  <c r="H266" i="1"/>
  <c r="H271" i="1"/>
  <c r="H283" i="1"/>
  <c r="H284" i="1"/>
  <c r="H295" i="1"/>
  <c r="H296" i="1"/>
  <c r="H301" i="1"/>
  <c r="E2" i="1"/>
  <c r="G3" i="1"/>
  <c r="G7" i="1"/>
  <c r="G55" i="1"/>
  <c r="G56" i="1"/>
  <c r="G61" i="1"/>
  <c r="G70" i="1"/>
  <c r="G82" i="1"/>
  <c r="G103" i="1"/>
  <c r="G104" i="1"/>
  <c r="G118" i="1"/>
  <c r="G130" i="1"/>
  <c r="G151" i="1"/>
  <c r="G152" i="1"/>
  <c r="G157" i="1"/>
  <c r="G199" i="1"/>
  <c r="G238" i="1"/>
  <c r="G247" i="1"/>
  <c r="G248" i="1"/>
  <c r="G295" i="1"/>
  <c r="G296" i="1"/>
  <c r="G301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AB2" i="1"/>
  <c r="AA2" i="1"/>
  <c r="Z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2" i="1"/>
  <c r="L3" i="1"/>
  <c r="N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N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N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N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N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N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N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N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N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N111" i="1" s="1"/>
  <c r="L112" i="1"/>
  <c r="M112" i="1" s="1"/>
  <c r="L113" i="1"/>
  <c r="M113" i="1" s="1"/>
  <c r="L114" i="1"/>
  <c r="M114" i="1" s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N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N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N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N159" i="1" s="1"/>
  <c r="L160" i="1"/>
  <c r="M160" i="1" s="1"/>
  <c r="L161" i="1"/>
  <c r="M161" i="1" s="1"/>
  <c r="L162" i="1"/>
  <c r="M162" i="1" s="1"/>
  <c r="L163" i="1"/>
  <c r="M163" i="1" s="1"/>
  <c r="L164" i="1"/>
  <c r="M164" i="1" s="1"/>
  <c r="L165" i="1"/>
  <c r="M165" i="1" s="1"/>
  <c r="L166" i="1"/>
  <c r="M166" i="1" s="1"/>
  <c r="L167" i="1"/>
  <c r="M167" i="1" s="1"/>
  <c r="L168" i="1"/>
  <c r="M168" i="1" s="1"/>
  <c r="L169" i="1"/>
  <c r="M169" i="1" s="1"/>
  <c r="L170" i="1"/>
  <c r="M170" i="1" s="1"/>
  <c r="L171" i="1"/>
  <c r="N171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N183" i="1" s="1"/>
  <c r="L184" i="1"/>
  <c r="M184" i="1" s="1"/>
  <c r="L185" i="1"/>
  <c r="M185" i="1" s="1"/>
  <c r="L186" i="1"/>
  <c r="M186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N195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N207" i="1" s="1"/>
  <c r="L208" i="1"/>
  <c r="M208" i="1" s="1"/>
  <c r="L209" i="1"/>
  <c r="M209" i="1" s="1"/>
  <c r="L210" i="1"/>
  <c r="M210" i="1" s="1"/>
  <c r="L211" i="1"/>
  <c r="M211" i="1" s="1"/>
  <c r="L212" i="1"/>
  <c r="M212" i="1" s="1"/>
  <c r="L213" i="1"/>
  <c r="M213" i="1" s="1"/>
  <c r="L214" i="1"/>
  <c r="M214" i="1" s="1"/>
  <c r="L215" i="1"/>
  <c r="M215" i="1" s="1"/>
  <c r="L216" i="1"/>
  <c r="M216" i="1" s="1"/>
  <c r="L217" i="1"/>
  <c r="M217" i="1" s="1"/>
  <c r="L218" i="1"/>
  <c r="M218" i="1" s="1"/>
  <c r="L219" i="1"/>
  <c r="N219" i="1" s="1"/>
  <c r="L220" i="1"/>
  <c r="M220" i="1" s="1"/>
  <c r="L221" i="1"/>
  <c r="M221" i="1" s="1"/>
  <c r="L222" i="1"/>
  <c r="M222" i="1" s="1"/>
  <c r="L223" i="1"/>
  <c r="M223" i="1" s="1"/>
  <c r="L224" i="1"/>
  <c r="M224" i="1" s="1"/>
  <c r="L225" i="1"/>
  <c r="M225" i="1" s="1"/>
  <c r="L226" i="1"/>
  <c r="M226" i="1" s="1"/>
  <c r="L227" i="1"/>
  <c r="M227" i="1" s="1"/>
  <c r="L228" i="1"/>
  <c r="M228" i="1" s="1"/>
  <c r="L229" i="1"/>
  <c r="M229" i="1" s="1"/>
  <c r="L230" i="1"/>
  <c r="M230" i="1" s="1"/>
  <c r="L231" i="1"/>
  <c r="N231" i="1" s="1"/>
  <c r="L232" i="1"/>
  <c r="M232" i="1" s="1"/>
  <c r="L233" i="1"/>
  <c r="M233" i="1" s="1"/>
  <c r="L234" i="1"/>
  <c r="M234" i="1" s="1"/>
  <c r="L235" i="1"/>
  <c r="M235" i="1" s="1"/>
  <c r="L236" i="1"/>
  <c r="M236" i="1" s="1"/>
  <c r="L237" i="1"/>
  <c r="M237" i="1" s="1"/>
  <c r="L238" i="1"/>
  <c r="M238" i="1" s="1"/>
  <c r="L239" i="1"/>
  <c r="M239" i="1" s="1"/>
  <c r="L240" i="1"/>
  <c r="M240" i="1" s="1"/>
  <c r="L241" i="1"/>
  <c r="M241" i="1" s="1"/>
  <c r="L242" i="1"/>
  <c r="M242" i="1" s="1"/>
  <c r="L243" i="1"/>
  <c r="N243" i="1" s="1"/>
  <c r="L244" i="1"/>
  <c r="M244" i="1" s="1"/>
  <c r="L245" i="1"/>
  <c r="M245" i="1" s="1"/>
  <c r="L246" i="1"/>
  <c r="M246" i="1" s="1"/>
  <c r="L247" i="1"/>
  <c r="M247" i="1" s="1"/>
  <c r="L248" i="1"/>
  <c r="M248" i="1" s="1"/>
  <c r="L249" i="1"/>
  <c r="M249" i="1" s="1"/>
  <c r="L250" i="1"/>
  <c r="M250" i="1" s="1"/>
  <c r="L251" i="1"/>
  <c r="M251" i="1" s="1"/>
  <c r="L252" i="1"/>
  <c r="M252" i="1" s="1"/>
  <c r="L253" i="1"/>
  <c r="M253" i="1" s="1"/>
  <c r="L254" i="1"/>
  <c r="M254" i="1" s="1"/>
  <c r="L255" i="1"/>
  <c r="N255" i="1" s="1"/>
  <c r="L256" i="1"/>
  <c r="M256" i="1" s="1"/>
  <c r="L257" i="1"/>
  <c r="M257" i="1" s="1"/>
  <c r="L258" i="1"/>
  <c r="M258" i="1" s="1"/>
  <c r="L259" i="1"/>
  <c r="M259" i="1" s="1"/>
  <c r="L260" i="1"/>
  <c r="M260" i="1" s="1"/>
  <c r="L261" i="1"/>
  <c r="M261" i="1" s="1"/>
  <c r="L262" i="1"/>
  <c r="M262" i="1" s="1"/>
  <c r="L263" i="1"/>
  <c r="M263" i="1" s="1"/>
  <c r="L264" i="1"/>
  <c r="M264" i="1" s="1"/>
  <c r="L265" i="1"/>
  <c r="M265" i="1" s="1"/>
  <c r="L266" i="1"/>
  <c r="M266" i="1" s="1"/>
  <c r="L267" i="1"/>
  <c r="N267" i="1" s="1"/>
  <c r="L268" i="1"/>
  <c r="M268" i="1" s="1"/>
  <c r="L269" i="1"/>
  <c r="M269" i="1" s="1"/>
  <c r="L270" i="1"/>
  <c r="M270" i="1" s="1"/>
  <c r="L271" i="1"/>
  <c r="M271" i="1" s="1"/>
  <c r="L272" i="1"/>
  <c r="M272" i="1" s="1"/>
  <c r="L273" i="1"/>
  <c r="M273" i="1" s="1"/>
  <c r="L274" i="1"/>
  <c r="M274" i="1" s="1"/>
  <c r="L275" i="1"/>
  <c r="M275" i="1" s="1"/>
  <c r="L276" i="1"/>
  <c r="M276" i="1" s="1"/>
  <c r="L277" i="1"/>
  <c r="M277" i="1" s="1"/>
  <c r="L278" i="1"/>
  <c r="M278" i="1" s="1"/>
  <c r="L279" i="1"/>
  <c r="N279" i="1" s="1"/>
  <c r="L280" i="1"/>
  <c r="M280" i="1" s="1"/>
  <c r="L281" i="1"/>
  <c r="M281" i="1" s="1"/>
  <c r="L282" i="1"/>
  <c r="M282" i="1" s="1"/>
  <c r="L283" i="1"/>
  <c r="M283" i="1" s="1"/>
  <c r="L284" i="1"/>
  <c r="M284" i="1" s="1"/>
  <c r="L285" i="1"/>
  <c r="M285" i="1" s="1"/>
  <c r="L286" i="1"/>
  <c r="M286" i="1" s="1"/>
  <c r="L287" i="1"/>
  <c r="M287" i="1" s="1"/>
  <c r="L288" i="1"/>
  <c r="M288" i="1" s="1"/>
  <c r="L289" i="1"/>
  <c r="M289" i="1" s="1"/>
  <c r="L290" i="1"/>
  <c r="M290" i="1" s="1"/>
  <c r="L291" i="1"/>
  <c r="N291" i="1" s="1"/>
  <c r="L292" i="1"/>
  <c r="M292" i="1" s="1"/>
  <c r="L293" i="1"/>
  <c r="M293" i="1" s="1"/>
  <c r="L294" i="1"/>
  <c r="M294" i="1" s="1"/>
  <c r="L295" i="1"/>
  <c r="M295" i="1" s="1"/>
  <c r="L296" i="1"/>
  <c r="M296" i="1" s="1"/>
  <c r="L297" i="1"/>
  <c r="M297" i="1" s="1"/>
  <c r="L298" i="1"/>
  <c r="M298" i="1" s="1"/>
  <c r="L299" i="1"/>
  <c r="M299" i="1" s="1"/>
  <c r="L300" i="1"/>
  <c r="M300" i="1" s="1"/>
  <c r="L301" i="1"/>
  <c r="M301" i="1" s="1"/>
  <c r="L2" i="1"/>
  <c r="M2" i="1" s="1"/>
  <c r="E3" i="1"/>
  <c r="F3" i="1" s="1"/>
  <c r="E4" i="1"/>
  <c r="E5" i="1"/>
  <c r="E6" i="1"/>
  <c r="H6" i="1" s="1"/>
  <c r="E7" i="1"/>
  <c r="E8" i="1"/>
  <c r="G8" i="1" s="1"/>
  <c r="E9" i="1"/>
  <c r="F9" i="1" s="1"/>
  <c r="E10" i="1"/>
  <c r="F10" i="1" s="1"/>
  <c r="E11" i="1"/>
  <c r="F11" i="1" s="1"/>
  <c r="E12" i="1"/>
  <c r="F12" i="1" s="1"/>
  <c r="E13" i="1"/>
  <c r="G13" i="1" s="1"/>
  <c r="E14" i="1"/>
  <c r="H14" i="1" s="1"/>
  <c r="E15" i="1"/>
  <c r="G15" i="1" s="1"/>
  <c r="E16" i="1"/>
  <c r="E17" i="1"/>
  <c r="E18" i="1"/>
  <c r="E19" i="1"/>
  <c r="G19" i="1" s="1"/>
  <c r="E20" i="1"/>
  <c r="G20" i="1" s="1"/>
  <c r="E21" i="1"/>
  <c r="F21" i="1" s="1"/>
  <c r="E22" i="1"/>
  <c r="F22" i="1" s="1"/>
  <c r="E23" i="1"/>
  <c r="E24" i="1"/>
  <c r="G24" i="1" s="1"/>
  <c r="E25" i="1"/>
  <c r="F25" i="1" s="1"/>
  <c r="E26" i="1"/>
  <c r="F26" i="1" s="1"/>
  <c r="E27" i="1"/>
  <c r="G27" i="1" s="1"/>
  <c r="E28" i="1"/>
  <c r="E29" i="1"/>
  <c r="E30" i="1"/>
  <c r="G30" i="1" s="1"/>
  <c r="E31" i="1"/>
  <c r="G31" i="1" s="1"/>
  <c r="E32" i="1"/>
  <c r="G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H38" i="1" s="1"/>
  <c r="E39" i="1"/>
  <c r="F39" i="1" s="1"/>
  <c r="E40" i="1"/>
  <c r="H40" i="1" s="1"/>
  <c r="E41" i="1"/>
  <c r="E42" i="1"/>
  <c r="E43" i="1"/>
  <c r="G43" i="1" s="1"/>
  <c r="E44" i="1"/>
  <c r="G44" i="1" s="1"/>
  <c r="E45" i="1"/>
  <c r="F45" i="1" s="1"/>
  <c r="E46" i="1"/>
  <c r="F46" i="1" s="1"/>
  <c r="E47" i="1"/>
  <c r="F47" i="1" s="1"/>
  <c r="E48" i="1"/>
  <c r="F48" i="1" s="1"/>
  <c r="E49" i="1"/>
  <c r="H49" i="1" s="1"/>
  <c r="E50" i="1"/>
  <c r="E51" i="1"/>
  <c r="E52" i="1"/>
  <c r="G52" i="1" s="1"/>
  <c r="E53" i="1"/>
  <c r="G53" i="1" s="1"/>
  <c r="E54" i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E63" i="1"/>
  <c r="G63" i="1" s="1"/>
  <c r="E64" i="1"/>
  <c r="E65" i="1"/>
  <c r="E66" i="1"/>
  <c r="E67" i="1"/>
  <c r="G67" i="1" s="1"/>
  <c r="E68" i="1"/>
  <c r="G68" i="1" s="1"/>
  <c r="E69" i="1"/>
  <c r="F69" i="1" s="1"/>
  <c r="E70" i="1"/>
  <c r="F70" i="1" s="1"/>
  <c r="E71" i="1"/>
  <c r="F71" i="1" s="1"/>
  <c r="E72" i="1"/>
  <c r="G72" i="1" s="1"/>
  <c r="E73" i="1"/>
  <c r="G73" i="1" s="1"/>
  <c r="E74" i="1"/>
  <c r="G74" i="1" s="1"/>
  <c r="E75" i="1"/>
  <c r="G75" i="1" s="1"/>
  <c r="E76" i="1"/>
  <c r="H76" i="1" s="1"/>
  <c r="E77" i="1"/>
  <c r="H77" i="1" s="1"/>
  <c r="E78" i="1"/>
  <c r="E79" i="1"/>
  <c r="G79" i="1" s="1"/>
  <c r="E80" i="1"/>
  <c r="G80" i="1" s="1"/>
  <c r="E81" i="1"/>
  <c r="F81" i="1" s="1"/>
  <c r="E82" i="1"/>
  <c r="F82" i="1" s="1"/>
  <c r="E83" i="1"/>
  <c r="F83" i="1" s="1"/>
  <c r="E84" i="1"/>
  <c r="F84" i="1" s="1"/>
  <c r="E85" i="1"/>
  <c r="H85" i="1" s="1"/>
  <c r="E86" i="1"/>
  <c r="F86" i="1" s="1"/>
  <c r="E87" i="1"/>
  <c r="F87" i="1" s="1"/>
  <c r="E88" i="1"/>
  <c r="E89" i="1"/>
  <c r="E90" i="1"/>
  <c r="E91" i="1"/>
  <c r="G91" i="1" s="1"/>
  <c r="E92" i="1"/>
  <c r="G92" i="1" s="1"/>
  <c r="E93" i="1"/>
  <c r="F93" i="1" s="1"/>
  <c r="E94" i="1"/>
  <c r="F94" i="1" s="1"/>
  <c r="E95" i="1"/>
  <c r="E96" i="1"/>
  <c r="F96" i="1" s="1"/>
  <c r="E97" i="1"/>
  <c r="E98" i="1"/>
  <c r="E99" i="1"/>
  <c r="E100" i="1"/>
  <c r="E101" i="1"/>
  <c r="E102" i="1"/>
  <c r="F102" i="1" s="1"/>
  <c r="E103" i="1"/>
  <c r="H103" i="1" s="1"/>
  <c r="E104" i="1"/>
  <c r="H104" i="1" s="1"/>
  <c r="E105" i="1"/>
  <c r="F105" i="1" s="1"/>
  <c r="E106" i="1"/>
  <c r="F106" i="1" s="1"/>
  <c r="E107" i="1"/>
  <c r="F107" i="1" s="1"/>
  <c r="E108" i="1"/>
  <c r="F108" i="1" s="1"/>
  <c r="E109" i="1"/>
  <c r="H109" i="1" s="1"/>
  <c r="E110" i="1"/>
  <c r="F110" i="1" s="1"/>
  <c r="E111" i="1"/>
  <c r="G111" i="1" s="1"/>
  <c r="E112" i="1"/>
  <c r="E113" i="1"/>
  <c r="G113" i="1" s="1"/>
  <c r="E114" i="1"/>
  <c r="G114" i="1" s="1"/>
  <c r="E115" i="1"/>
  <c r="G115" i="1" s="1"/>
  <c r="E116" i="1"/>
  <c r="G116" i="1" s="1"/>
  <c r="E117" i="1"/>
  <c r="F117" i="1" s="1"/>
  <c r="E118" i="1"/>
  <c r="F118" i="1" s="1"/>
  <c r="E119" i="1"/>
  <c r="F119" i="1" s="1"/>
  <c r="E120" i="1"/>
  <c r="G120" i="1" s="1"/>
  <c r="E121" i="1"/>
  <c r="H121" i="1" s="1"/>
  <c r="E122" i="1"/>
  <c r="H122" i="1" s="1"/>
  <c r="E123" i="1"/>
  <c r="G123" i="1" s="1"/>
  <c r="E124" i="1"/>
  <c r="H124" i="1" s="1"/>
  <c r="E125" i="1"/>
  <c r="F125" i="1" s="1"/>
  <c r="E126" i="1"/>
  <c r="E127" i="1"/>
  <c r="G127" i="1" s="1"/>
  <c r="E128" i="1"/>
  <c r="G128" i="1" s="1"/>
  <c r="E129" i="1"/>
  <c r="F129" i="1" s="1"/>
  <c r="E130" i="1"/>
  <c r="F130" i="1" s="1"/>
  <c r="E131" i="1"/>
  <c r="F131" i="1" s="1"/>
  <c r="E132" i="1"/>
  <c r="E133" i="1"/>
  <c r="F133" i="1" s="1"/>
  <c r="E134" i="1"/>
  <c r="G134" i="1" s="1"/>
  <c r="E135" i="1"/>
  <c r="E136" i="1"/>
  <c r="G136" i="1" s="1"/>
  <c r="E137" i="1"/>
  <c r="E138" i="1"/>
  <c r="E139" i="1"/>
  <c r="G139" i="1" s="1"/>
  <c r="E140" i="1"/>
  <c r="G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E147" i="1"/>
  <c r="F147" i="1" s="1"/>
  <c r="E148" i="1"/>
  <c r="E149" i="1"/>
  <c r="E150" i="1"/>
  <c r="H150" i="1" s="1"/>
  <c r="E151" i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E159" i="1"/>
  <c r="G159" i="1" s="1"/>
  <c r="E160" i="1"/>
  <c r="E161" i="1"/>
  <c r="E162" i="1"/>
  <c r="H162" i="1" s="1"/>
  <c r="E163" i="1"/>
  <c r="G163" i="1" s="1"/>
  <c r="E164" i="1"/>
  <c r="G164" i="1" s="1"/>
  <c r="E165" i="1"/>
  <c r="F165" i="1" s="1"/>
  <c r="E166" i="1"/>
  <c r="F166" i="1" s="1"/>
  <c r="E167" i="1"/>
  <c r="E168" i="1"/>
  <c r="G168" i="1" s="1"/>
  <c r="E169" i="1"/>
  <c r="F169" i="1" s="1"/>
  <c r="E170" i="1"/>
  <c r="F170" i="1" s="1"/>
  <c r="E171" i="1"/>
  <c r="G171" i="1" s="1"/>
  <c r="E172" i="1"/>
  <c r="F172" i="1" s="1"/>
  <c r="E173" i="1"/>
  <c r="E174" i="1"/>
  <c r="G174" i="1" s="1"/>
  <c r="E175" i="1"/>
  <c r="G175" i="1" s="1"/>
  <c r="E176" i="1"/>
  <c r="G176" i="1" s="1"/>
  <c r="E177" i="1"/>
  <c r="F177" i="1" s="1"/>
  <c r="E178" i="1"/>
  <c r="F178" i="1" s="1"/>
  <c r="E179" i="1"/>
  <c r="E180" i="1"/>
  <c r="E181" i="1"/>
  <c r="F181" i="1" s="1"/>
  <c r="E182" i="1"/>
  <c r="E183" i="1"/>
  <c r="F183" i="1" s="1"/>
  <c r="E184" i="1"/>
  <c r="H184" i="1" s="1"/>
  <c r="E185" i="1"/>
  <c r="H185" i="1" s="1"/>
  <c r="E186" i="1"/>
  <c r="F186" i="1" s="1"/>
  <c r="E187" i="1"/>
  <c r="G187" i="1" s="1"/>
  <c r="E188" i="1"/>
  <c r="G188" i="1" s="1"/>
  <c r="E189" i="1"/>
  <c r="F189" i="1" s="1"/>
  <c r="E190" i="1"/>
  <c r="F190" i="1" s="1"/>
  <c r="E191" i="1"/>
  <c r="F191" i="1" s="1"/>
  <c r="E192" i="1"/>
  <c r="F192" i="1" s="1"/>
  <c r="E193" i="1"/>
  <c r="H193" i="1" s="1"/>
  <c r="E194" i="1"/>
  <c r="E195" i="1"/>
  <c r="F195" i="1" s="1"/>
  <c r="E196" i="1"/>
  <c r="G196" i="1" s="1"/>
  <c r="E197" i="1"/>
  <c r="G197" i="1" s="1"/>
  <c r="E198" i="1"/>
  <c r="F198" i="1" s="1"/>
  <c r="E199" i="1"/>
  <c r="F199" i="1" s="1"/>
  <c r="E200" i="1"/>
  <c r="G200" i="1" s="1"/>
  <c r="E201" i="1"/>
  <c r="F201" i="1" s="1"/>
  <c r="E202" i="1"/>
  <c r="F202" i="1" s="1"/>
  <c r="E203" i="1"/>
  <c r="F203" i="1" s="1"/>
  <c r="E204" i="1"/>
  <c r="F204" i="1" s="1"/>
  <c r="E205" i="1"/>
  <c r="H205" i="1" s="1"/>
  <c r="E206" i="1"/>
  <c r="H206" i="1" s="1"/>
  <c r="E207" i="1"/>
  <c r="G207" i="1" s="1"/>
  <c r="E208" i="1"/>
  <c r="F208" i="1" s="1"/>
  <c r="E209" i="1"/>
  <c r="E210" i="1"/>
  <c r="E211" i="1"/>
  <c r="G211" i="1" s="1"/>
  <c r="E212" i="1"/>
  <c r="G212" i="1" s="1"/>
  <c r="E213" i="1"/>
  <c r="F213" i="1" s="1"/>
  <c r="E214" i="1"/>
  <c r="F214" i="1" s="1"/>
  <c r="E215" i="1"/>
  <c r="E216" i="1"/>
  <c r="G216" i="1" s="1"/>
  <c r="E217" i="1"/>
  <c r="G217" i="1" s="1"/>
  <c r="E218" i="1"/>
  <c r="G218" i="1" s="1"/>
  <c r="E219" i="1"/>
  <c r="G219" i="1" s="1"/>
  <c r="E220" i="1"/>
  <c r="E221" i="1"/>
  <c r="E222" i="1"/>
  <c r="E223" i="1"/>
  <c r="G223" i="1" s="1"/>
  <c r="E224" i="1"/>
  <c r="G224" i="1" s="1"/>
  <c r="E225" i="1"/>
  <c r="F225" i="1" s="1"/>
  <c r="E226" i="1"/>
  <c r="F226" i="1" s="1"/>
  <c r="E227" i="1"/>
  <c r="F227" i="1" s="1"/>
  <c r="E228" i="1"/>
  <c r="F228" i="1" s="1"/>
  <c r="E229" i="1"/>
  <c r="H229" i="1" s="1"/>
  <c r="E230" i="1"/>
  <c r="E231" i="1"/>
  <c r="F231" i="1" s="1"/>
  <c r="E232" i="1"/>
  <c r="F232" i="1" s="1"/>
  <c r="E233" i="1"/>
  <c r="E234" i="1"/>
  <c r="E235" i="1"/>
  <c r="G235" i="1" s="1"/>
  <c r="E236" i="1"/>
  <c r="G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H242" i="1" s="1"/>
  <c r="E243" i="1"/>
  <c r="E244" i="1"/>
  <c r="H244" i="1" s="1"/>
  <c r="E245" i="1"/>
  <c r="E246" i="1"/>
  <c r="E247" i="1"/>
  <c r="H247" i="1" s="1"/>
  <c r="E248" i="1"/>
  <c r="H248" i="1" s="1"/>
  <c r="E249" i="1"/>
  <c r="F249" i="1" s="1"/>
  <c r="E250" i="1"/>
  <c r="F250" i="1" s="1"/>
  <c r="E251" i="1"/>
  <c r="F251" i="1" s="1"/>
  <c r="E252" i="1"/>
  <c r="F252" i="1" s="1"/>
  <c r="E253" i="1"/>
  <c r="H253" i="1" s="1"/>
  <c r="E254" i="1"/>
  <c r="F254" i="1" s="1"/>
  <c r="E255" i="1"/>
  <c r="G255" i="1" s="1"/>
  <c r="E256" i="1"/>
  <c r="F256" i="1" s="1"/>
  <c r="E257" i="1"/>
  <c r="G257" i="1" s="1"/>
  <c r="E258" i="1"/>
  <c r="G258" i="1" s="1"/>
  <c r="E259" i="1"/>
  <c r="G259" i="1" s="1"/>
  <c r="E260" i="1"/>
  <c r="G260" i="1" s="1"/>
  <c r="E261" i="1"/>
  <c r="F261" i="1" s="1"/>
  <c r="E262" i="1"/>
  <c r="F262" i="1" s="1"/>
  <c r="E263" i="1"/>
  <c r="F263" i="1" s="1"/>
  <c r="E264" i="1"/>
  <c r="G264" i="1" s="1"/>
  <c r="E265" i="1"/>
  <c r="E266" i="1"/>
  <c r="E267" i="1"/>
  <c r="G267" i="1" s="1"/>
  <c r="E268" i="1"/>
  <c r="E269" i="1"/>
  <c r="E270" i="1"/>
  <c r="F270" i="1" s="1"/>
  <c r="E271" i="1"/>
  <c r="G271" i="1" s="1"/>
  <c r="E272" i="1"/>
  <c r="G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G278" i="1" s="1"/>
  <c r="E279" i="1"/>
  <c r="F279" i="1" s="1"/>
  <c r="E280" i="1"/>
  <c r="G280" i="1" s="1"/>
  <c r="E281" i="1"/>
  <c r="E282" i="1"/>
  <c r="E283" i="1"/>
  <c r="G283" i="1" s="1"/>
  <c r="E284" i="1"/>
  <c r="G284" i="1" s="1"/>
  <c r="E285" i="1"/>
  <c r="F285" i="1" s="1"/>
  <c r="E286" i="1"/>
  <c r="F286" i="1" s="1"/>
  <c r="E287" i="1"/>
  <c r="E288" i="1"/>
  <c r="F288" i="1" s="1"/>
  <c r="E289" i="1"/>
  <c r="H289" i="1" s="1"/>
  <c r="E290" i="1"/>
  <c r="F290" i="1" s="1"/>
  <c r="E291" i="1"/>
  <c r="E292" i="1"/>
  <c r="F292" i="1" s="1"/>
  <c r="E293" i="1"/>
  <c r="E294" i="1"/>
  <c r="H294" i="1" s="1"/>
  <c r="E295" i="1"/>
  <c r="E296" i="1"/>
  <c r="E297" i="1"/>
  <c r="F297" i="1" s="1"/>
  <c r="E298" i="1"/>
  <c r="F298" i="1" s="1"/>
  <c r="E299" i="1"/>
  <c r="F299" i="1" s="1"/>
  <c r="E300" i="1"/>
  <c r="F300" i="1" s="1"/>
  <c r="E301" i="1"/>
  <c r="F301" i="1" s="1"/>
  <c r="AH18" i="1"/>
  <c r="AH17" i="1"/>
  <c r="AH16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2" i="1"/>
  <c r="AH15" i="1"/>
  <c r="AH7" i="1"/>
  <c r="AH6" i="1"/>
  <c r="AH12" i="1"/>
  <c r="AH11" i="1"/>
  <c r="G231" i="1" l="1"/>
  <c r="F13" i="1"/>
  <c r="F74" i="1"/>
  <c r="G228" i="1"/>
  <c r="F253" i="1"/>
  <c r="F73" i="1"/>
  <c r="G276" i="1"/>
  <c r="G227" i="1"/>
  <c r="G109" i="1"/>
  <c r="G47" i="1"/>
  <c r="H157" i="1"/>
  <c r="G275" i="1"/>
  <c r="G226" i="1"/>
  <c r="G46" i="1"/>
  <c r="H30" i="1"/>
  <c r="G274" i="1"/>
  <c r="G37" i="1"/>
  <c r="H280" i="1"/>
  <c r="H200" i="1"/>
  <c r="F236" i="1"/>
  <c r="F164" i="1"/>
  <c r="G263" i="1"/>
  <c r="G190" i="1"/>
  <c r="G87" i="1"/>
  <c r="G34" i="1"/>
  <c r="H278" i="1"/>
  <c r="H241" i="1"/>
  <c r="H199" i="1"/>
  <c r="H145" i="1"/>
  <c r="H80" i="1"/>
  <c r="F272" i="1"/>
  <c r="F235" i="1"/>
  <c r="F200" i="1"/>
  <c r="F163" i="1"/>
  <c r="F109" i="1"/>
  <c r="F49" i="1"/>
  <c r="H218" i="1"/>
  <c r="G145" i="1"/>
  <c r="H217" i="1"/>
  <c r="F136" i="1"/>
  <c r="G229" i="1"/>
  <c r="F218" i="1"/>
  <c r="F134" i="1"/>
  <c r="G277" i="1"/>
  <c r="G49" i="1"/>
  <c r="F217" i="1"/>
  <c r="G262" i="1"/>
  <c r="G181" i="1"/>
  <c r="G85" i="1"/>
  <c r="H277" i="1"/>
  <c r="H13" i="1"/>
  <c r="G253" i="1"/>
  <c r="G166" i="1"/>
  <c r="G84" i="1"/>
  <c r="G6" i="1"/>
  <c r="H272" i="1"/>
  <c r="H235" i="1"/>
  <c r="H139" i="1"/>
  <c r="H68" i="1"/>
  <c r="H8" i="1"/>
  <c r="F196" i="1"/>
  <c r="F103" i="1"/>
  <c r="F43" i="1"/>
  <c r="G270" i="1"/>
  <c r="H270" i="1"/>
  <c r="F246" i="1"/>
  <c r="G246" i="1"/>
  <c r="G222" i="1"/>
  <c r="F222" i="1"/>
  <c r="G138" i="1"/>
  <c r="F138" i="1"/>
  <c r="G126" i="1"/>
  <c r="H126" i="1"/>
  <c r="G78" i="1"/>
  <c r="F78" i="1"/>
  <c r="G269" i="1"/>
  <c r="H269" i="1"/>
  <c r="G233" i="1"/>
  <c r="H233" i="1"/>
  <c r="G161" i="1"/>
  <c r="F161" i="1"/>
  <c r="G137" i="1"/>
  <c r="F137" i="1"/>
  <c r="G101" i="1"/>
  <c r="F101" i="1"/>
  <c r="G65" i="1"/>
  <c r="H65" i="1"/>
  <c r="G41" i="1"/>
  <c r="F41" i="1"/>
  <c r="G17" i="1"/>
  <c r="F17" i="1"/>
  <c r="G102" i="1"/>
  <c r="H78" i="1"/>
  <c r="H17" i="1"/>
  <c r="G268" i="1"/>
  <c r="F268" i="1"/>
  <c r="G232" i="1"/>
  <c r="H232" i="1"/>
  <c r="G160" i="1"/>
  <c r="F160" i="1"/>
  <c r="G124" i="1"/>
  <c r="F124" i="1"/>
  <c r="G88" i="1"/>
  <c r="H88" i="1"/>
  <c r="G28" i="1"/>
  <c r="H28" i="1"/>
  <c r="G16" i="1"/>
  <c r="F16" i="1"/>
  <c r="G4" i="1"/>
  <c r="H4" i="1"/>
  <c r="G150" i="1"/>
  <c r="F30" i="1"/>
  <c r="F243" i="1"/>
  <c r="G243" i="1"/>
  <c r="G198" i="1"/>
  <c r="H138" i="1"/>
  <c r="G193" i="1"/>
  <c r="G143" i="1"/>
  <c r="G83" i="1"/>
  <c r="G36" i="1"/>
  <c r="H198" i="1"/>
  <c r="H136" i="1"/>
  <c r="H101" i="1"/>
  <c r="H73" i="1"/>
  <c r="F278" i="1"/>
  <c r="F150" i="1"/>
  <c r="F88" i="1"/>
  <c r="G2" i="1"/>
  <c r="F2" i="1"/>
  <c r="G234" i="1"/>
  <c r="H234" i="1"/>
  <c r="G210" i="1"/>
  <c r="H210" i="1"/>
  <c r="G186" i="1"/>
  <c r="H186" i="1"/>
  <c r="G162" i="1"/>
  <c r="F162" i="1"/>
  <c r="G90" i="1"/>
  <c r="H90" i="1"/>
  <c r="G66" i="1"/>
  <c r="H66" i="1"/>
  <c r="G42" i="1"/>
  <c r="H42" i="1"/>
  <c r="H2" i="1"/>
  <c r="F42" i="1"/>
  <c r="G293" i="1"/>
  <c r="H293" i="1"/>
  <c r="G221" i="1"/>
  <c r="F221" i="1"/>
  <c r="G185" i="1"/>
  <c r="F185" i="1"/>
  <c r="G149" i="1"/>
  <c r="H149" i="1"/>
  <c r="G125" i="1"/>
  <c r="H125" i="1"/>
  <c r="G89" i="1"/>
  <c r="H89" i="1"/>
  <c r="G5" i="1"/>
  <c r="H5" i="1"/>
  <c r="F5" i="1"/>
  <c r="G244" i="1"/>
  <c r="F244" i="1"/>
  <c r="G208" i="1"/>
  <c r="H208" i="1"/>
  <c r="G172" i="1"/>
  <c r="H172" i="1"/>
  <c r="G100" i="1"/>
  <c r="F100" i="1"/>
  <c r="G64" i="1"/>
  <c r="H64" i="1"/>
  <c r="H268" i="1"/>
  <c r="H114" i="1"/>
  <c r="H52" i="1"/>
  <c r="H16" i="1"/>
  <c r="F66" i="1"/>
  <c r="F4" i="1"/>
  <c r="F291" i="1"/>
  <c r="G291" i="1"/>
  <c r="F135" i="1"/>
  <c r="G135" i="1"/>
  <c r="F65" i="1"/>
  <c r="G242" i="1"/>
  <c r="F242" i="1"/>
  <c r="G194" i="1"/>
  <c r="H194" i="1"/>
  <c r="G170" i="1"/>
  <c r="H170" i="1"/>
  <c r="G195" i="1"/>
  <c r="H102" i="1"/>
  <c r="H41" i="1"/>
  <c r="F126" i="1"/>
  <c r="F28" i="1"/>
  <c r="G241" i="1"/>
  <c r="G191" i="1"/>
  <c r="G131" i="1"/>
  <c r="G35" i="1"/>
  <c r="H222" i="1"/>
  <c r="H197" i="1"/>
  <c r="H161" i="1"/>
  <c r="H134" i="1"/>
  <c r="H100" i="1"/>
  <c r="F149" i="1"/>
  <c r="F114" i="1"/>
  <c r="F53" i="1"/>
  <c r="G282" i="1"/>
  <c r="F282" i="1"/>
  <c r="F54" i="1"/>
  <c r="G54" i="1"/>
  <c r="G18" i="1"/>
  <c r="F18" i="1"/>
  <c r="H54" i="1"/>
  <c r="H18" i="1"/>
  <c r="F6" i="1"/>
  <c r="G281" i="1"/>
  <c r="F281" i="1"/>
  <c r="G245" i="1"/>
  <c r="F245" i="1"/>
  <c r="G209" i="1"/>
  <c r="H209" i="1"/>
  <c r="G173" i="1"/>
  <c r="H173" i="1"/>
  <c r="G77" i="1"/>
  <c r="F77" i="1"/>
  <c r="G29" i="1"/>
  <c r="H29" i="1"/>
  <c r="H53" i="1"/>
  <c r="G292" i="1"/>
  <c r="H292" i="1"/>
  <c r="G256" i="1"/>
  <c r="H256" i="1"/>
  <c r="G220" i="1"/>
  <c r="F220" i="1"/>
  <c r="G184" i="1"/>
  <c r="F184" i="1"/>
  <c r="G148" i="1"/>
  <c r="H148" i="1"/>
  <c r="G112" i="1"/>
  <c r="H112" i="1"/>
  <c r="G76" i="1"/>
  <c r="F76" i="1"/>
  <c r="G40" i="1"/>
  <c r="F40" i="1"/>
  <c r="F99" i="1"/>
  <c r="G99" i="1"/>
  <c r="F51" i="1"/>
  <c r="G51" i="1"/>
  <c r="G147" i="1"/>
  <c r="G39" i="1"/>
  <c r="H174" i="1"/>
  <c r="H113" i="1"/>
  <c r="F90" i="1"/>
  <c r="F29" i="1"/>
  <c r="G290" i="1"/>
  <c r="H290" i="1"/>
  <c r="G266" i="1"/>
  <c r="F266" i="1"/>
  <c r="G254" i="1"/>
  <c r="H254" i="1"/>
  <c r="G230" i="1"/>
  <c r="H230" i="1"/>
  <c r="G206" i="1"/>
  <c r="F206" i="1"/>
  <c r="G182" i="1"/>
  <c r="F182" i="1"/>
  <c r="G158" i="1"/>
  <c r="F158" i="1"/>
  <c r="G146" i="1"/>
  <c r="H146" i="1"/>
  <c r="G122" i="1"/>
  <c r="F122" i="1"/>
  <c r="G110" i="1"/>
  <c r="H110" i="1"/>
  <c r="G98" i="1"/>
  <c r="F98" i="1"/>
  <c r="G86" i="1"/>
  <c r="H86" i="1"/>
  <c r="G62" i="1"/>
  <c r="F62" i="1"/>
  <c r="G50" i="1"/>
  <c r="H50" i="1"/>
  <c r="G38" i="1"/>
  <c r="F38" i="1"/>
  <c r="G26" i="1"/>
  <c r="H26" i="1"/>
  <c r="G14" i="1"/>
  <c r="F14" i="1"/>
  <c r="H137" i="1"/>
  <c r="H74" i="1"/>
  <c r="F280" i="1"/>
  <c r="F89" i="1"/>
  <c r="F64" i="1"/>
  <c r="F289" i="1"/>
  <c r="G289" i="1"/>
  <c r="G265" i="1"/>
  <c r="F265" i="1"/>
  <c r="G205" i="1"/>
  <c r="F205" i="1"/>
  <c r="G169" i="1"/>
  <c r="H169" i="1"/>
  <c r="H133" i="1"/>
  <c r="G133" i="1"/>
  <c r="G121" i="1"/>
  <c r="F121" i="1"/>
  <c r="F97" i="1"/>
  <c r="G97" i="1"/>
  <c r="G25" i="1"/>
  <c r="H25" i="1"/>
  <c r="F180" i="1"/>
  <c r="G180" i="1"/>
  <c r="F132" i="1"/>
  <c r="G132" i="1"/>
  <c r="F287" i="1"/>
  <c r="G287" i="1"/>
  <c r="F215" i="1"/>
  <c r="G215" i="1"/>
  <c r="F179" i="1"/>
  <c r="G179" i="1"/>
  <c r="F167" i="1"/>
  <c r="G167" i="1"/>
  <c r="F95" i="1"/>
  <c r="G95" i="1"/>
  <c r="F23" i="1"/>
  <c r="G23" i="1"/>
  <c r="G294" i="1"/>
  <c r="G239" i="1"/>
  <c r="G71" i="1"/>
  <c r="H282" i="1"/>
  <c r="H258" i="1"/>
  <c r="H221" i="1"/>
  <c r="H196" i="1"/>
  <c r="H160" i="1"/>
  <c r="H98" i="1"/>
  <c r="H37" i="1"/>
  <c r="F210" i="1"/>
  <c r="F174" i="1"/>
  <c r="F148" i="1"/>
  <c r="F113" i="1"/>
  <c r="F85" i="1"/>
  <c r="F52" i="1"/>
  <c r="G279" i="1"/>
  <c r="G183" i="1"/>
  <c r="G119" i="1"/>
  <c r="H281" i="1"/>
  <c r="H257" i="1"/>
  <c r="H220" i="1"/>
  <c r="H158" i="1"/>
  <c r="H97" i="1"/>
  <c r="H62" i="1"/>
  <c r="F234" i="1"/>
  <c r="F209" i="1"/>
  <c r="F173" i="1"/>
  <c r="F146" i="1"/>
  <c r="F112" i="1"/>
  <c r="F50" i="1"/>
  <c r="G142" i="1"/>
  <c r="G214" i="1"/>
  <c r="G22" i="1"/>
  <c r="G178" i="1"/>
  <c r="H187" i="1"/>
  <c r="H43" i="1"/>
  <c r="F260" i="1"/>
  <c r="F116" i="1"/>
  <c r="G286" i="1"/>
  <c r="G94" i="1"/>
  <c r="H164" i="1"/>
  <c r="H20" i="1"/>
  <c r="F259" i="1"/>
  <c r="F176" i="1"/>
  <c r="F115" i="1"/>
  <c r="F32" i="1"/>
  <c r="G288" i="1"/>
  <c r="G273" i="1"/>
  <c r="G240" i="1"/>
  <c r="G225" i="1"/>
  <c r="G192" i="1"/>
  <c r="G177" i="1"/>
  <c r="G144" i="1"/>
  <c r="G129" i="1"/>
  <c r="G96" i="1"/>
  <c r="G81" i="1"/>
  <c r="G48" i="1"/>
  <c r="G33" i="1"/>
  <c r="H291" i="1"/>
  <c r="H279" i="1"/>
  <c r="H267" i="1"/>
  <c r="H255" i="1"/>
  <c r="H243" i="1"/>
  <c r="H231" i="1"/>
  <c r="H219" i="1"/>
  <c r="H207" i="1"/>
  <c r="H195" i="1"/>
  <c r="H183" i="1"/>
  <c r="H171" i="1"/>
  <c r="H159" i="1"/>
  <c r="H147" i="1"/>
  <c r="H135" i="1"/>
  <c r="H123" i="1"/>
  <c r="H111" i="1"/>
  <c r="H99" i="1"/>
  <c r="H87" i="1"/>
  <c r="H75" i="1"/>
  <c r="H63" i="1"/>
  <c r="H51" i="1"/>
  <c r="H39" i="1"/>
  <c r="H27" i="1"/>
  <c r="H15" i="1"/>
  <c r="H3" i="1"/>
  <c r="F267" i="1"/>
  <c r="F255" i="1"/>
  <c r="F219" i="1"/>
  <c r="F207" i="1"/>
  <c r="F171" i="1"/>
  <c r="F159" i="1"/>
  <c r="F123" i="1"/>
  <c r="F111" i="1"/>
  <c r="F75" i="1"/>
  <c r="F63" i="1"/>
  <c r="F27" i="1"/>
  <c r="F15" i="1"/>
  <c r="G21" i="1"/>
  <c r="G300" i="1"/>
  <c r="G285" i="1"/>
  <c r="G252" i="1"/>
  <c r="G237" i="1"/>
  <c r="G204" i="1"/>
  <c r="G189" i="1"/>
  <c r="G156" i="1"/>
  <c r="G141" i="1"/>
  <c r="G108" i="1"/>
  <c r="G93" i="1"/>
  <c r="G60" i="1"/>
  <c r="G45" i="1"/>
  <c r="G12" i="1"/>
  <c r="H300" i="1"/>
  <c r="H288" i="1"/>
  <c r="H276" i="1"/>
  <c r="H264" i="1"/>
  <c r="H252" i="1"/>
  <c r="H240" i="1"/>
  <c r="H228" i="1"/>
  <c r="H216" i="1"/>
  <c r="H204" i="1"/>
  <c r="H192" i="1"/>
  <c r="H180" i="1"/>
  <c r="H168" i="1"/>
  <c r="H156" i="1"/>
  <c r="H144" i="1"/>
  <c r="H132" i="1"/>
  <c r="H120" i="1"/>
  <c r="H108" i="1"/>
  <c r="H96" i="1"/>
  <c r="H84" i="1"/>
  <c r="H72" i="1"/>
  <c r="H60" i="1"/>
  <c r="H48" i="1"/>
  <c r="H36" i="1"/>
  <c r="H24" i="1"/>
  <c r="H12" i="1"/>
  <c r="F264" i="1"/>
  <c r="F216" i="1"/>
  <c r="F168" i="1"/>
  <c r="F120" i="1"/>
  <c r="F72" i="1"/>
  <c r="F24" i="1"/>
  <c r="G261" i="1"/>
  <c r="G213" i="1"/>
  <c r="G165" i="1"/>
  <c r="G117" i="1"/>
  <c r="G69" i="1"/>
  <c r="G299" i="1"/>
  <c r="G251" i="1"/>
  <c r="G203" i="1"/>
  <c r="G155" i="1"/>
  <c r="G107" i="1"/>
  <c r="G59" i="1"/>
  <c r="G11" i="1"/>
  <c r="H299" i="1"/>
  <c r="H287" i="1"/>
  <c r="H275" i="1"/>
  <c r="H263" i="1"/>
  <c r="H251" i="1"/>
  <c r="H239" i="1"/>
  <c r="H227" i="1"/>
  <c r="H215" i="1"/>
  <c r="H203" i="1"/>
  <c r="H191" i="1"/>
  <c r="H179" i="1"/>
  <c r="H167" i="1"/>
  <c r="H155" i="1"/>
  <c r="H143" i="1"/>
  <c r="H131" i="1"/>
  <c r="H119" i="1"/>
  <c r="H107" i="1"/>
  <c r="H95" i="1"/>
  <c r="H83" i="1"/>
  <c r="H71" i="1"/>
  <c r="H59" i="1"/>
  <c r="H47" i="1"/>
  <c r="H35" i="1"/>
  <c r="H23" i="1"/>
  <c r="H11" i="1"/>
  <c r="G298" i="1"/>
  <c r="G250" i="1"/>
  <c r="G202" i="1"/>
  <c r="G154" i="1"/>
  <c r="G106" i="1"/>
  <c r="G58" i="1"/>
  <c r="G10" i="1"/>
  <c r="H298" i="1"/>
  <c r="H286" i="1"/>
  <c r="H274" i="1"/>
  <c r="H262" i="1"/>
  <c r="H250" i="1"/>
  <c r="H238" i="1"/>
  <c r="H226" i="1"/>
  <c r="H214" i="1"/>
  <c r="H202" i="1"/>
  <c r="H190" i="1"/>
  <c r="H178" i="1"/>
  <c r="H166" i="1"/>
  <c r="H154" i="1"/>
  <c r="H142" i="1"/>
  <c r="H130" i="1"/>
  <c r="H118" i="1"/>
  <c r="H106" i="1"/>
  <c r="H94" i="1"/>
  <c r="H82" i="1"/>
  <c r="H70" i="1"/>
  <c r="H58" i="1"/>
  <c r="H46" i="1"/>
  <c r="H34" i="1"/>
  <c r="H22" i="1"/>
  <c r="H10" i="1"/>
  <c r="G297" i="1"/>
  <c r="G249" i="1"/>
  <c r="G201" i="1"/>
  <c r="G153" i="1"/>
  <c r="G105" i="1"/>
  <c r="G57" i="1"/>
  <c r="G9" i="1"/>
  <c r="H297" i="1"/>
  <c r="H285" i="1"/>
  <c r="H273" i="1"/>
  <c r="H261" i="1"/>
  <c r="H249" i="1"/>
  <c r="H237" i="1"/>
  <c r="H225" i="1"/>
  <c r="H213" i="1"/>
  <c r="H201" i="1"/>
  <c r="H189" i="1"/>
  <c r="H177" i="1"/>
  <c r="H165" i="1"/>
  <c r="H153" i="1"/>
  <c r="H141" i="1"/>
  <c r="H129" i="1"/>
  <c r="H117" i="1"/>
  <c r="H105" i="1"/>
  <c r="H93" i="1"/>
  <c r="H81" i="1"/>
  <c r="H69" i="1"/>
  <c r="H57" i="1"/>
  <c r="H45" i="1"/>
  <c r="H33" i="1"/>
  <c r="H21" i="1"/>
  <c r="H9" i="1"/>
  <c r="N2" i="1"/>
  <c r="M291" i="1"/>
  <c r="M279" i="1"/>
  <c r="M267" i="1"/>
  <c r="M255" i="1"/>
  <c r="M243" i="1"/>
  <c r="M231" i="1"/>
  <c r="M219" i="1"/>
  <c r="M207" i="1"/>
  <c r="M195" i="1"/>
  <c r="M183" i="1"/>
  <c r="M171" i="1"/>
  <c r="M159" i="1"/>
  <c r="M147" i="1"/>
  <c r="M135" i="1"/>
  <c r="M123" i="1"/>
  <c r="M111" i="1"/>
  <c r="M99" i="1"/>
  <c r="M87" i="1"/>
  <c r="M75" i="1"/>
  <c r="M63" i="1"/>
  <c r="M51" i="1"/>
  <c r="M39" i="1"/>
  <c r="M27" i="1"/>
  <c r="M15" i="1"/>
  <c r="M3" i="1"/>
  <c r="N290" i="1"/>
  <c r="N278" i="1"/>
  <c r="N266" i="1"/>
  <c r="N254" i="1"/>
  <c r="N242" i="1"/>
  <c r="N230" i="1"/>
  <c r="N218" i="1"/>
  <c r="N206" i="1"/>
  <c r="N194" i="1"/>
  <c r="N182" i="1"/>
  <c r="N170" i="1"/>
  <c r="N158" i="1"/>
  <c r="N146" i="1"/>
  <c r="N134" i="1"/>
  <c r="N122" i="1"/>
  <c r="N110" i="1"/>
  <c r="N98" i="1"/>
  <c r="N86" i="1"/>
  <c r="N74" i="1"/>
  <c r="N62" i="1"/>
  <c r="N50" i="1"/>
  <c r="N38" i="1"/>
  <c r="N26" i="1"/>
  <c r="N14" i="1"/>
  <c r="N301" i="1"/>
  <c r="N289" i="1"/>
  <c r="N277" i="1"/>
  <c r="N265" i="1"/>
  <c r="N253" i="1"/>
  <c r="N241" i="1"/>
  <c r="N229" i="1"/>
  <c r="N217" i="1"/>
  <c r="N205" i="1"/>
  <c r="N193" i="1"/>
  <c r="N181" i="1"/>
  <c r="N169" i="1"/>
  <c r="N157" i="1"/>
  <c r="N145" i="1"/>
  <c r="N133" i="1"/>
  <c r="N121" i="1"/>
  <c r="N109" i="1"/>
  <c r="N97" i="1"/>
  <c r="N85" i="1"/>
  <c r="N73" i="1"/>
  <c r="N61" i="1"/>
  <c r="N49" i="1"/>
  <c r="N37" i="1"/>
  <c r="N25" i="1"/>
  <c r="N13" i="1"/>
  <c r="N300" i="1"/>
  <c r="N288" i="1"/>
  <c r="N276" i="1"/>
  <c r="N264" i="1"/>
  <c r="N252" i="1"/>
  <c r="N240" i="1"/>
  <c r="N228" i="1"/>
  <c r="N216" i="1"/>
  <c r="N204" i="1"/>
  <c r="N192" i="1"/>
  <c r="N180" i="1"/>
  <c r="N168" i="1"/>
  <c r="N156" i="1"/>
  <c r="N144" i="1"/>
  <c r="N132" i="1"/>
  <c r="N120" i="1"/>
  <c r="N108" i="1"/>
  <c r="N96" i="1"/>
  <c r="N84" i="1"/>
  <c r="N72" i="1"/>
  <c r="N60" i="1"/>
  <c r="N48" i="1"/>
  <c r="N36" i="1"/>
  <c r="N24" i="1"/>
  <c r="N12" i="1"/>
  <c r="N299" i="1"/>
  <c r="N287" i="1"/>
  <c r="N275" i="1"/>
  <c r="N263" i="1"/>
  <c r="N251" i="1"/>
  <c r="N239" i="1"/>
  <c r="N227" i="1"/>
  <c r="N215" i="1"/>
  <c r="N203" i="1"/>
  <c r="N191" i="1"/>
  <c r="N179" i="1"/>
  <c r="N167" i="1"/>
  <c r="N155" i="1"/>
  <c r="N143" i="1"/>
  <c r="N131" i="1"/>
  <c r="N119" i="1"/>
  <c r="N107" i="1"/>
  <c r="N95" i="1"/>
  <c r="N83" i="1"/>
  <c r="N71" i="1"/>
  <c r="N59" i="1"/>
  <c r="N47" i="1"/>
  <c r="N35" i="1"/>
  <c r="N23" i="1"/>
  <c r="N11" i="1"/>
  <c r="N298" i="1"/>
  <c r="N286" i="1"/>
  <c r="N274" i="1"/>
  <c r="N262" i="1"/>
  <c r="N250" i="1"/>
  <c r="N238" i="1"/>
  <c r="N226" i="1"/>
  <c r="N214" i="1"/>
  <c r="N202" i="1"/>
  <c r="N190" i="1"/>
  <c r="N178" i="1"/>
  <c r="N166" i="1"/>
  <c r="N154" i="1"/>
  <c r="N142" i="1"/>
  <c r="N130" i="1"/>
  <c r="N118" i="1"/>
  <c r="N106" i="1"/>
  <c r="N94" i="1"/>
  <c r="N82" i="1"/>
  <c r="N70" i="1"/>
  <c r="N58" i="1"/>
  <c r="N46" i="1"/>
  <c r="N34" i="1"/>
  <c r="N22" i="1"/>
  <c r="N10" i="1"/>
  <c r="N297" i="1"/>
  <c r="N285" i="1"/>
  <c r="N273" i="1"/>
  <c r="N261" i="1"/>
  <c r="N249" i="1"/>
  <c r="N237" i="1"/>
  <c r="N225" i="1"/>
  <c r="N213" i="1"/>
  <c r="N201" i="1"/>
  <c r="N189" i="1"/>
  <c r="N177" i="1"/>
  <c r="N165" i="1"/>
  <c r="N153" i="1"/>
  <c r="N141" i="1"/>
  <c r="N129" i="1"/>
  <c r="N117" i="1"/>
  <c r="N105" i="1"/>
  <c r="N93" i="1"/>
  <c r="N81" i="1"/>
  <c r="N69" i="1"/>
  <c r="N57" i="1"/>
  <c r="N45" i="1"/>
  <c r="N33" i="1"/>
  <c r="N21" i="1"/>
  <c r="N9" i="1"/>
  <c r="N296" i="1"/>
  <c r="N284" i="1"/>
  <c r="N272" i="1"/>
  <c r="N260" i="1"/>
  <c r="N248" i="1"/>
  <c r="N236" i="1"/>
  <c r="N224" i="1"/>
  <c r="N212" i="1"/>
  <c r="N200" i="1"/>
  <c r="N188" i="1"/>
  <c r="N176" i="1"/>
  <c r="N164" i="1"/>
  <c r="N152" i="1"/>
  <c r="N140" i="1"/>
  <c r="N128" i="1"/>
  <c r="N116" i="1"/>
  <c r="N104" i="1"/>
  <c r="N92" i="1"/>
  <c r="N80" i="1"/>
  <c r="N68" i="1"/>
  <c r="N56" i="1"/>
  <c r="N44" i="1"/>
  <c r="N32" i="1"/>
  <c r="N20" i="1"/>
  <c r="N8" i="1"/>
  <c r="N295" i="1"/>
  <c r="N283" i="1"/>
  <c r="N271" i="1"/>
  <c r="N259" i="1"/>
  <c r="N247" i="1"/>
  <c r="N235" i="1"/>
  <c r="N223" i="1"/>
  <c r="N211" i="1"/>
  <c r="N199" i="1"/>
  <c r="N187" i="1"/>
  <c r="N175" i="1"/>
  <c r="N163" i="1"/>
  <c r="N151" i="1"/>
  <c r="N139" i="1"/>
  <c r="N127" i="1"/>
  <c r="N115" i="1"/>
  <c r="N103" i="1"/>
  <c r="N91" i="1"/>
  <c r="N79" i="1"/>
  <c r="N67" i="1"/>
  <c r="N55" i="1"/>
  <c r="N43" i="1"/>
  <c r="N31" i="1"/>
  <c r="N19" i="1"/>
  <c r="N7" i="1"/>
  <c r="N294" i="1"/>
  <c r="N282" i="1"/>
  <c r="N270" i="1"/>
  <c r="N258" i="1"/>
  <c r="N246" i="1"/>
  <c r="N234" i="1"/>
  <c r="N222" i="1"/>
  <c r="N210" i="1"/>
  <c r="N198" i="1"/>
  <c r="N186" i="1"/>
  <c r="N174" i="1"/>
  <c r="N162" i="1"/>
  <c r="N150" i="1"/>
  <c r="N138" i="1"/>
  <c r="N126" i="1"/>
  <c r="N114" i="1"/>
  <c r="N102" i="1"/>
  <c r="N90" i="1"/>
  <c r="N78" i="1"/>
  <c r="N66" i="1"/>
  <c r="N54" i="1"/>
  <c r="N42" i="1"/>
  <c r="N30" i="1"/>
  <c r="N18" i="1"/>
  <c r="N6" i="1"/>
  <c r="N293" i="1"/>
  <c r="N281" i="1"/>
  <c r="N269" i="1"/>
  <c r="N257" i="1"/>
  <c r="N245" i="1"/>
  <c r="N233" i="1"/>
  <c r="N221" i="1"/>
  <c r="N209" i="1"/>
  <c r="N197" i="1"/>
  <c r="N185" i="1"/>
  <c r="N173" i="1"/>
  <c r="N161" i="1"/>
  <c r="N149" i="1"/>
  <c r="N137" i="1"/>
  <c r="N125" i="1"/>
  <c r="N113" i="1"/>
  <c r="N101" i="1"/>
  <c r="N89" i="1"/>
  <c r="N77" i="1"/>
  <c r="N65" i="1"/>
  <c r="N53" i="1"/>
  <c r="N41" i="1"/>
  <c r="N29" i="1"/>
  <c r="N17" i="1"/>
  <c r="N5" i="1"/>
  <c r="N292" i="1"/>
  <c r="N280" i="1"/>
  <c r="N268" i="1"/>
  <c r="N256" i="1"/>
  <c r="N244" i="1"/>
  <c r="N232" i="1"/>
  <c r="N220" i="1"/>
  <c r="N208" i="1"/>
  <c r="N196" i="1"/>
  <c r="N184" i="1"/>
  <c r="N172" i="1"/>
  <c r="N160" i="1"/>
  <c r="N148" i="1"/>
  <c r="N136" i="1"/>
  <c r="N124" i="1"/>
  <c r="N112" i="1"/>
  <c r="N100" i="1"/>
  <c r="N88" i="1"/>
  <c r="N76" i="1"/>
  <c r="N64" i="1"/>
  <c r="N52" i="1"/>
  <c r="N40" i="1"/>
  <c r="N28" i="1"/>
  <c r="N16" i="1"/>
  <c r="N4" i="1"/>
  <c r="AH9" i="1" l="1"/>
  <c r="AH8" i="1"/>
  <c r="AH10" i="1"/>
</calcChain>
</file>

<file path=xl/sharedStrings.xml><?xml version="1.0" encoding="utf-8"?>
<sst xmlns="http://schemas.openxmlformats.org/spreadsheetml/2006/main" count="2155" uniqueCount="1199">
  <si>
    <t>Emp_ID</t>
  </si>
  <si>
    <t>Employee_Name</t>
  </si>
  <si>
    <t>Department</t>
  </si>
  <si>
    <t>City</t>
  </si>
  <si>
    <t>Joining_Date</t>
  </si>
  <si>
    <t>Login_Time</t>
  </si>
  <si>
    <t>Monthly_Sales</t>
  </si>
  <si>
    <t>Target</t>
  </si>
  <si>
    <t>Questions</t>
  </si>
  <si>
    <t>Answer</t>
  </si>
  <si>
    <t>E1001</t>
  </si>
  <si>
    <t>Yash Singh</t>
  </si>
  <si>
    <t>Sales</t>
  </si>
  <si>
    <t>Chennai</t>
  </si>
  <si>
    <t>17-May-2022</t>
  </si>
  <si>
    <t>08:08:47</t>
  </si>
  <si>
    <t>excellent leadership</t>
  </si>
  <si>
    <t>Current Date</t>
  </si>
  <si>
    <t>E1002</t>
  </si>
  <si>
    <t>Nisha Patel</t>
  </si>
  <si>
    <t>Pune</t>
  </si>
  <si>
    <t>24-Mar-2022</t>
  </si>
  <si>
    <t>08:32:38</t>
  </si>
  <si>
    <t>fast delivery</t>
  </si>
  <si>
    <t>Current Date &amp; Time</t>
  </si>
  <si>
    <t>E1003</t>
  </si>
  <si>
    <t>Yash Goyal</t>
  </si>
  <si>
    <t>Marketing</t>
  </si>
  <si>
    <t>Bangalore</t>
  </si>
  <si>
    <t>09-Jul-2023</t>
  </si>
  <si>
    <t>10:17:51</t>
  </si>
  <si>
    <t>customer focused</t>
  </si>
  <si>
    <t>Current Time</t>
  </si>
  <si>
    <t>E1004</t>
  </si>
  <si>
    <t>Tanya Joshi</t>
  </si>
  <si>
    <t>Hyderabad</t>
  </si>
  <si>
    <t>24-Jul-2022</t>
  </si>
  <si>
    <t>08:13:48</t>
  </si>
  <si>
    <t>good communication</t>
  </si>
  <si>
    <t>Total Monthly Sales</t>
  </si>
  <si>
    <t>E1005</t>
  </si>
  <si>
    <t>Suresh Singh</t>
  </si>
  <si>
    <t>Finance</t>
  </si>
  <si>
    <t>21-May-2024</t>
  </si>
  <si>
    <t>09:51:02</t>
  </si>
  <si>
    <t>strong presentation</t>
  </si>
  <si>
    <t>Average Monthly Sales</t>
  </si>
  <si>
    <t>E1006</t>
  </si>
  <si>
    <t>Neha Bansal</t>
  </si>
  <si>
    <t>11-Jul-2024</t>
  </si>
  <si>
    <t>10:56:55</t>
  </si>
  <si>
    <t>Count of  Employees</t>
  </si>
  <si>
    <t>E1007</t>
  </si>
  <si>
    <t>Rahul Patel</t>
  </si>
  <si>
    <t>HR</t>
  </si>
  <si>
    <t>13-Jun-2021</t>
  </si>
  <si>
    <t>08:55:06</t>
  </si>
  <si>
    <t>helpful attitude</t>
  </si>
  <si>
    <t>Count Numeric Sales Values</t>
  </si>
  <si>
    <t>E1008</t>
  </si>
  <si>
    <t>Yash Reddy</t>
  </si>
  <si>
    <t>29-Dec-2022</t>
  </si>
  <si>
    <t>08:42:17</t>
  </si>
  <si>
    <t>Highest Sales</t>
  </si>
  <si>
    <t>E1009</t>
  </si>
  <si>
    <t>Yash Joshi</t>
  </si>
  <si>
    <t>Delhi</t>
  </si>
  <si>
    <t>05-Aug-2023</t>
  </si>
  <si>
    <t>09:17:59</t>
  </si>
  <si>
    <t>good teamwork</t>
  </si>
  <si>
    <t>Lowest Sales</t>
  </si>
  <si>
    <t>E1010</t>
  </si>
  <si>
    <t>Rohan Patel</t>
  </si>
  <si>
    <t>Mumbai</t>
  </si>
  <si>
    <t>09-Oct-2022</t>
  </si>
  <si>
    <t>09:17:04</t>
  </si>
  <si>
    <t>accurate reports</t>
  </si>
  <si>
    <t>Square Root of Sales</t>
  </si>
  <si>
    <t>E1011</t>
  </si>
  <si>
    <t>Yash Agarwal</t>
  </si>
  <si>
    <t>Ahmedabad</t>
  </si>
  <si>
    <t>20-Oct-2021</t>
  </si>
  <si>
    <t>09:08:15</t>
  </si>
  <si>
    <t>Sales Squared</t>
  </si>
  <si>
    <t>E1012</t>
  </si>
  <si>
    <t>Manish Chopra</t>
  </si>
  <si>
    <t>26-Mar-2022</t>
  </si>
  <si>
    <t>08:32:31</t>
  </si>
  <si>
    <t>E1013</t>
  </si>
  <si>
    <t>Neha Kumar</t>
  </si>
  <si>
    <t>Kolkata</t>
  </si>
  <si>
    <t>06-May-2024</t>
  </si>
  <si>
    <t>08:24:24</t>
  </si>
  <si>
    <t>E1014</t>
  </si>
  <si>
    <t>Vikram Goyal</t>
  </si>
  <si>
    <t>28-Oct-2024</t>
  </si>
  <si>
    <t>10:48:17</t>
  </si>
  <si>
    <t>E1015</t>
  </si>
  <si>
    <t>Anjali Chopra</t>
  </si>
  <si>
    <t>07-Jan-2021</t>
  </si>
  <si>
    <t>10:56:46</t>
  </si>
  <si>
    <t>E1016</t>
  </si>
  <si>
    <t>Sneha Saxena</t>
  </si>
  <si>
    <t>01-Aug-2024</t>
  </si>
  <si>
    <t>10:38:12</t>
  </si>
  <si>
    <t>E1017</t>
  </si>
  <si>
    <t>Sneha Goyal</t>
  </si>
  <si>
    <t>28-Sep-2023</t>
  </si>
  <si>
    <t>08:07:59</t>
  </si>
  <si>
    <t>E1018</t>
  </si>
  <si>
    <t>Priya Nair</t>
  </si>
  <si>
    <t>23-Sep-2023</t>
  </si>
  <si>
    <t>08:48:34</t>
  </si>
  <si>
    <t>quick response</t>
  </si>
  <si>
    <t>E1019</t>
  </si>
  <si>
    <t>Nidhi Agarwal</t>
  </si>
  <si>
    <t>17-Dec-2023</t>
  </si>
  <si>
    <t>10:27:13</t>
  </si>
  <si>
    <t>E1020</t>
  </si>
  <si>
    <t>Anjali Bansal</t>
  </si>
  <si>
    <t>26-Nov-2023</t>
  </si>
  <si>
    <t>09:07:15</t>
  </si>
  <si>
    <t>creative ideas</t>
  </si>
  <si>
    <t>E1021</t>
  </si>
  <si>
    <t>Amit Mishra</t>
  </si>
  <si>
    <t>15-Jan-2021</t>
  </si>
  <si>
    <t>08:45:40</t>
  </si>
  <si>
    <t>E1022</t>
  </si>
  <si>
    <t>Aditya Patel</t>
  </si>
  <si>
    <t>19-Nov-2023</t>
  </si>
  <si>
    <t>08:17:42</t>
  </si>
  <si>
    <t>E1023</t>
  </si>
  <si>
    <t>Arjun Mishra</t>
  </si>
  <si>
    <t>27-Aug-2023</t>
  </si>
  <si>
    <t>09:12:06</t>
  </si>
  <si>
    <t>E1024</t>
  </si>
  <si>
    <t>Nisha Chopra</t>
  </si>
  <si>
    <t>11-Oct-2024</t>
  </si>
  <si>
    <t>10:41:06</t>
  </si>
  <si>
    <t>E1025</t>
  </si>
  <si>
    <t>Rohan Singh</t>
  </si>
  <si>
    <t>25-Jan-2022</t>
  </si>
  <si>
    <t>10:28:08</t>
  </si>
  <si>
    <t>needs improvement</t>
  </si>
  <si>
    <t>E1026</t>
  </si>
  <si>
    <t>Deepak Nair</t>
  </si>
  <si>
    <t>02-Feb-2024</t>
  </si>
  <si>
    <t>08:03:41</t>
  </si>
  <si>
    <t>E1027</t>
  </si>
  <si>
    <t>Madhuri Nair</t>
  </si>
  <si>
    <t>22-Sep-2023</t>
  </si>
  <si>
    <t>09:13:55</t>
  </si>
  <si>
    <t>E1028</t>
  </si>
  <si>
    <t>Suresh Sharma</t>
  </si>
  <si>
    <t>21-Jul-2023</t>
  </si>
  <si>
    <t>09:27:44</t>
  </si>
  <si>
    <t>E1029</t>
  </si>
  <si>
    <t>Karan Gupta</t>
  </si>
  <si>
    <t>01-Apr-2024</t>
  </si>
  <si>
    <t>10:34:03</t>
  </si>
  <si>
    <t>excellent service</t>
  </si>
  <si>
    <t>E1030</t>
  </si>
  <si>
    <t>Priya Mishra</t>
  </si>
  <si>
    <t>27-Apr-2021</t>
  </si>
  <si>
    <t>10:05:54</t>
  </si>
  <si>
    <t>E1031</t>
  </si>
  <si>
    <t>Rahul Nair</t>
  </si>
  <si>
    <t>12-Mar-2024</t>
  </si>
  <si>
    <t>08:37:38</t>
  </si>
  <si>
    <t>detailed analysis</t>
  </si>
  <si>
    <t>E1032</t>
  </si>
  <si>
    <t>Nidhi Mishra</t>
  </si>
  <si>
    <t>23-Feb-2022</t>
  </si>
  <si>
    <t>10:45:20</t>
  </si>
  <si>
    <t>E1033</t>
  </si>
  <si>
    <t>Arjun Gupta</t>
  </si>
  <si>
    <t>29-May-2021</t>
  </si>
  <si>
    <t>08:29:39</t>
  </si>
  <si>
    <t>E1034</t>
  </si>
  <si>
    <t>Ritika Mehta</t>
  </si>
  <si>
    <t>16-Dec-2022</t>
  </si>
  <si>
    <t>08:56:15</t>
  </si>
  <si>
    <t>E1035</t>
  </si>
  <si>
    <t>Deepak Goyal</t>
  </si>
  <si>
    <t>29-Sep-2024</t>
  </si>
  <si>
    <t>10:19:59</t>
  </si>
  <si>
    <t>E1036</t>
  </si>
  <si>
    <t>Arjun Shah</t>
  </si>
  <si>
    <t>08-Feb-2024</t>
  </si>
  <si>
    <t>08:17:18</t>
  </si>
  <si>
    <t>E1037</t>
  </si>
  <si>
    <t>Rohan Mehta</t>
  </si>
  <si>
    <t>30-May-2022</t>
  </si>
  <si>
    <t>08:05:40</t>
  </si>
  <si>
    <t>E1038</t>
  </si>
  <si>
    <t>Amit Iyer</t>
  </si>
  <si>
    <t>27-Nov-2021</t>
  </si>
  <si>
    <t>10:28:35</t>
  </si>
  <si>
    <t>E1039</t>
  </si>
  <si>
    <t>Amit Singh</t>
  </si>
  <si>
    <t>23-Jan-2024</t>
  </si>
  <si>
    <t>08:53:23</t>
  </si>
  <si>
    <t>E1040</t>
  </si>
  <si>
    <t>Arjun Patel</t>
  </si>
  <si>
    <t>23-Mar-2021</t>
  </si>
  <si>
    <t>09:13:43</t>
  </si>
  <si>
    <t>E1041</t>
  </si>
  <si>
    <t>Harsh Goyal</t>
  </si>
  <si>
    <t>30-Apr-2022</t>
  </si>
  <si>
    <t>08:51:51</t>
  </si>
  <si>
    <t>E1042</t>
  </si>
  <si>
    <t>Sneha Iyer</t>
  </si>
  <si>
    <t>01-Jul-2022</t>
  </si>
  <si>
    <t>08:50:44</t>
  </si>
  <si>
    <t>positive attitude</t>
  </si>
  <si>
    <t>E1043</t>
  </si>
  <si>
    <t>Priya Agarwal</t>
  </si>
  <si>
    <t>01-Aug-2023</t>
  </si>
  <si>
    <t>09:19:52</t>
  </si>
  <si>
    <t>E1044</t>
  </si>
  <si>
    <t>Amit Mehta</t>
  </si>
  <si>
    <t>25-Jul-2022</t>
  </si>
  <si>
    <t>08:49:17</t>
  </si>
  <si>
    <t>E1045</t>
  </si>
  <si>
    <t>Nidhi Goyal</t>
  </si>
  <si>
    <t>25-Aug-2021</t>
  </si>
  <si>
    <t>09:11:37</t>
  </si>
  <si>
    <t>E1046</t>
  </si>
  <si>
    <t>Shreya Chopra</t>
  </si>
  <si>
    <t>13-Jun-2023</t>
  </si>
  <si>
    <t>10:32:07</t>
  </si>
  <si>
    <t>E1047</t>
  </si>
  <si>
    <t>Priya Chopra</t>
  </si>
  <si>
    <t>16-Jan-2023</t>
  </si>
  <si>
    <t>09:04:42</t>
  </si>
  <si>
    <t>E1048</t>
  </si>
  <si>
    <t>Isha Singh</t>
  </si>
  <si>
    <t>27-Sep-2024</t>
  </si>
  <si>
    <t>09:20:25</t>
  </si>
  <si>
    <t>E1049</t>
  </si>
  <si>
    <t>Arjun Mehta</t>
  </si>
  <si>
    <t>19-Oct-2024</t>
  </si>
  <si>
    <t>10:57:11</t>
  </si>
  <si>
    <t>E1050</t>
  </si>
  <si>
    <t>Ritika Sharma</t>
  </si>
  <si>
    <t>07-Mar-2022</t>
  </si>
  <si>
    <t>09:50:37</t>
  </si>
  <si>
    <t>E1051</t>
  </si>
  <si>
    <t>Deepak Malhotra</t>
  </si>
  <si>
    <t>14-Dec-2021</t>
  </si>
  <si>
    <t>10:05:18</t>
  </si>
  <si>
    <t>E1052</t>
  </si>
  <si>
    <t>Varun Nair</t>
  </si>
  <si>
    <t>12-Feb-2022</t>
  </si>
  <si>
    <t>08:01:02</t>
  </si>
  <si>
    <t>E1053</t>
  </si>
  <si>
    <t>Isha Verma</t>
  </si>
  <si>
    <t>13-Jul-2024</t>
  </si>
  <si>
    <t>10:12:45</t>
  </si>
  <si>
    <t>E1054</t>
  </si>
  <si>
    <t>Suresh Nair</t>
  </si>
  <si>
    <t>07-Aug-2021</t>
  </si>
  <si>
    <t>09:14:11</t>
  </si>
  <si>
    <t>E1055</t>
  </si>
  <si>
    <t>Priya Goyal</t>
  </si>
  <si>
    <t>24-Jul-2023</t>
  </si>
  <si>
    <t>08:51:29</t>
  </si>
  <si>
    <t>E1056</t>
  </si>
  <si>
    <t>Shreya Iyer</t>
  </si>
  <si>
    <t>28-Jan-2024</t>
  </si>
  <si>
    <t>09:57:10</t>
  </si>
  <si>
    <t>E1057</t>
  </si>
  <si>
    <t>Vikram Nair</t>
  </si>
  <si>
    <t>07-Jul-2024</t>
  </si>
  <si>
    <t>08:17:28</t>
  </si>
  <si>
    <t>E1058</t>
  </si>
  <si>
    <t>Vikram Iyer</t>
  </si>
  <si>
    <t>11-Oct-2021</t>
  </si>
  <si>
    <t>08:14:24</t>
  </si>
  <si>
    <t>E1059</t>
  </si>
  <si>
    <t>Karan Verma</t>
  </si>
  <si>
    <t>09-Nov-2022</t>
  </si>
  <si>
    <t>10:29:26</t>
  </si>
  <si>
    <t>E1060</t>
  </si>
  <si>
    <t>Nisha Bansal</t>
  </si>
  <si>
    <t>04-Sep-2023</t>
  </si>
  <si>
    <t>08:22:19</t>
  </si>
  <si>
    <t>E1061</t>
  </si>
  <si>
    <t>Aditya Chopra</t>
  </si>
  <si>
    <t>09:27:31</t>
  </si>
  <si>
    <t>E1062</t>
  </si>
  <si>
    <t>Nidhi Bansal</t>
  </si>
  <si>
    <t>19-Sep-2021</t>
  </si>
  <si>
    <t>10:34:01</t>
  </si>
  <si>
    <t>E1063</t>
  </si>
  <si>
    <t>Manish Sharma</t>
  </si>
  <si>
    <t>05-Oct-2021</t>
  </si>
  <si>
    <t>09:11:03</t>
  </si>
  <si>
    <t>E1064</t>
  </si>
  <si>
    <t>Karan Malhotra</t>
  </si>
  <si>
    <t>16-Feb-2023</t>
  </si>
  <si>
    <t>09:48:53</t>
  </si>
  <si>
    <t>E1065</t>
  </si>
  <si>
    <t>Rahul Agarwal</t>
  </si>
  <si>
    <t>18-Dec-2022</t>
  </si>
  <si>
    <t>08:41:04</t>
  </si>
  <si>
    <t>E1066</t>
  </si>
  <si>
    <t>Amit Nair</t>
  </si>
  <si>
    <t>26-Jun-2024</t>
  </si>
  <si>
    <t>08:15:08</t>
  </si>
  <si>
    <t>E1067</t>
  </si>
  <si>
    <t>10-Dec-2021</t>
  </si>
  <si>
    <t>10:38:47</t>
  </si>
  <si>
    <t>E1068</t>
  </si>
  <si>
    <t>Varun Joshi</t>
  </si>
  <si>
    <t>31-Mar-2024</t>
  </si>
  <si>
    <t>08:59:19</t>
  </si>
  <si>
    <t>E1069</t>
  </si>
  <si>
    <t>Siddharth Mehta</t>
  </si>
  <si>
    <t>28-Jul-2021</t>
  </si>
  <si>
    <t>10:49:19</t>
  </si>
  <si>
    <t>E1070</t>
  </si>
  <si>
    <t>Manish Patel</t>
  </si>
  <si>
    <t>16-Sep-2024</t>
  </si>
  <si>
    <t>09:04:32</t>
  </si>
  <si>
    <t>E1071</t>
  </si>
  <si>
    <t>Isha Chopra</t>
  </si>
  <si>
    <t>07-Jun-2023</t>
  </si>
  <si>
    <t>09:40:57</t>
  </si>
  <si>
    <t>E1072</t>
  </si>
  <si>
    <t>Arjun Chopra</t>
  </si>
  <si>
    <t>15-Jun-2024</t>
  </si>
  <si>
    <t>10:49:30</t>
  </si>
  <si>
    <t>E1073</t>
  </si>
  <si>
    <t>Komal Mishra</t>
  </si>
  <si>
    <t>18-May-2022</t>
  </si>
  <si>
    <t>08:17:56</t>
  </si>
  <si>
    <t>E1074</t>
  </si>
  <si>
    <t>Deepak Mishra</t>
  </si>
  <si>
    <t>28-Feb-2021</t>
  </si>
  <si>
    <t>09:54:20</t>
  </si>
  <si>
    <t>E1075</t>
  </si>
  <si>
    <t>Meera Shah</t>
  </si>
  <si>
    <t>05-May-2024</t>
  </si>
  <si>
    <t>10:56:17</t>
  </si>
  <si>
    <t>E1076</t>
  </si>
  <si>
    <t>10:48:15</t>
  </si>
  <si>
    <t>E1077</t>
  </si>
  <si>
    <t>Siddharth Agarwal</t>
  </si>
  <si>
    <t>10-Jul-2021</t>
  </si>
  <si>
    <t>09:14:25</t>
  </si>
  <si>
    <t>E1078</t>
  </si>
  <si>
    <t>10:22:27</t>
  </si>
  <si>
    <t>E1079</t>
  </si>
  <si>
    <t>Siddharth Malhotra</t>
  </si>
  <si>
    <t>08:07:46</t>
  </si>
  <si>
    <t>E1080</t>
  </si>
  <si>
    <t>Komal Goyal</t>
  </si>
  <si>
    <t>20-Mar-2022</t>
  </si>
  <si>
    <t>10:30:17</t>
  </si>
  <si>
    <t>E1081</t>
  </si>
  <si>
    <t>Anjali Singh</t>
  </si>
  <si>
    <t>11-Apr-2022</t>
  </si>
  <si>
    <t>09:11:19</t>
  </si>
  <si>
    <t>E1082</t>
  </si>
  <si>
    <t>Priya Patel</t>
  </si>
  <si>
    <t>30-Jul-2024</t>
  </si>
  <si>
    <t>09:06:55</t>
  </si>
  <si>
    <t>E1083</t>
  </si>
  <si>
    <t>Kavita Malhotra</t>
  </si>
  <si>
    <t>16-Apr-2021</t>
  </si>
  <si>
    <t>09:55:30</t>
  </si>
  <si>
    <t>E1084</t>
  </si>
  <si>
    <t>Kavita Verma</t>
  </si>
  <si>
    <t>02-Nov-2021</t>
  </si>
  <si>
    <t>10:19:05</t>
  </si>
  <si>
    <t>E1085</t>
  </si>
  <si>
    <t>Harsh Chopra</t>
  </si>
  <si>
    <t>12-Jul-2023</t>
  </si>
  <si>
    <t>09:19:55</t>
  </si>
  <si>
    <t>E1086</t>
  </si>
  <si>
    <t>Manish Jain</t>
  </si>
  <si>
    <t>02-Mar-2022</t>
  </si>
  <si>
    <t>10:13:16</t>
  </si>
  <si>
    <t>E1087</t>
  </si>
  <si>
    <t>Pooja Joshi</t>
  </si>
  <si>
    <t>06-Jan-2021</t>
  </si>
  <si>
    <t>09:28:44</t>
  </si>
  <si>
    <t>E1088</t>
  </si>
  <si>
    <t>10-Dec-2024</t>
  </si>
  <si>
    <t>09:04:43</t>
  </si>
  <si>
    <t>E1089</t>
  </si>
  <si>
    <t>Tanya Mishra</t>
  </si>
  <si>
    <t>24-Aug-2021</t>
  </si>
  <si>
    <t>10:14:41</t>
  </si>
  <si>
    <t>E1090</t>
  </si>
  <si>
    <t>Arjun Verma</t>
  </si>
  <si>
    <t>22-Sep-2022</t>
  </si>
  <si>
    <t>10:47:52</t>
  </si>
  <si>
    <t>E1091</t>
  </si>
  <si>
    <t>Neha Malhotra</t>
  </si>
  <si>
    <t>12-Jul-2022</t>
  </si>
  <si>
    <t>10:34:31</t>
  </si>
  <si>
    <t>E1092</t>
  </si>
  <si>
    <t>22-Feb-2021</t>
  </si>
  <si>
    <t>08:14:43</t>
  </si>
  <si>
    <t>E1093</t>
  </si>
  <si>
    <t>Nidhi Shah</t>
  </si>
  <si>
    <t>22-Aug-2023</t>
  </si>
  <si>
    <t>10:41:28</t>
  </si>
  <si>
    <t>E1094</t>
  </si>
  <si>
    <t>Nisha Agarwal</t>
  </si>
  <si>
    <t>14-Dec-2022</t>
  </si>
  <si>
    <t>09:21:20</t>
  </si>
  <si>
    <t>E1095</t>
  </si>
  <si>
    <t>14-Aug-2022</t>
  </si>
  <si>
    <t>10:25:52</t>
  </si>
  <si>
    <t>E1096</t>
  </si>
  <si>
    <t>Rahul Iyer</t>
  </si>
  <si>
    <t>26-Aug-2021</t>
  </si>
  <si>
    <t>09:55:32</t>
  </si>
  <si>
    <t>E1097</t>
  </si>
  <si>
    <t>Isha Goyal</t>
  </si>
  <si>
    <t>22-Apr-2021</t>
  </si>
  <si>
    <t>08:33:23</t>
  </si>
  <si>
    <t>E1098</t>
  </si>
  <si>
    <t>Deepak Patel</t>
  </si>
  <si>
    <t>30-Jan-2024</t>
  </si>
  <si>
    <t>08:59:18</t>
  </si>
  <si>
    <t>E1099</t>
  </si>
  <si>
    <t>Amit Jain</t>
  </si>
  <si>
    <t>29-Sep-2022</t>
  </si>
  <si>
    <t>10:00:35</t>
  </si>
  <si>
    <t>E1100</t>
  </si>
  <si>
    <t>Varun Singh</t>
  </si>
  <si>
    <t>19-Aug-2024</t>
  </si>
  <si>
    <t>08:31:59</t>
  </si>
  <si>
    <t>E1101</t>
  </si>
  <si>
    <t>Siddharth Shah</t>
  </si>
  <si>
    <t>26-Aug-2023</t>
  </si>
  <si>
    <t>08:29:35</t>
  </si>
  <si>
    <t>E1102</t>
  </si>
  <si>
    <t>Madhuri Jain</t>
  </si>
  <si>
    <t>20-Jul-2022</t>
  </si>
  <si>
    <t>09:21:59</t>
  </si>
  <si>
    <t>E1103</t>
  </si>
  <si>
    <t>Varun Sharma</t>
  </si>
  <si>
    <t>17-Apr-2024</t>
  </si>
  <si>
    <t>10:42:31</t>
  </si>
  <si>
    <t>E1104</t>
  </si>
  <si>
    <t>Ritika Agarwal</t>
  </si>
  <si>
    <t>05-Feb-2024</t>
  </si>
  <si>
    <t>10:24:29</t>
  </si>
  <si>
    <t>E1105</t>
  </si>
  <si>
    <t>Pooja Mishra</t>
  </si>
  <si>
    <t>22-Apr-2023</t>
  </si>
  <si>
    <t>08:20:47</t>
  </si>
  <si>
    <t>E1106</t>
  </si>
  <si>
    <t>Nidhi Kumar</t>
  </si>
  <si>
    <t>16-Sep-2021</t>
  </si>
  <si>
    <t>10:37:21</t>
  </si>
  <si>
    <t>E1107</t>
  </si>
  <si>
    <t>Isha Malhotra</t>
  </si>
  <si>
    <t>01-Feb-2021</t>
  </si>
  <si>
    <t>10:09:26</t>
  </si>
  <si>
    <t>E1108</t>
  </si>
  <si>
    <t>Kavita Shah</t>
  </si>
  <si>
    <t>23-Aug-2024</t>
  </si>
  <si>
    <t>08:54:21</t>
  </si>
  <si>
    <t>E1109</t>
  </si>
  <si>
    <t>Rohan Agarwal</t>
  </si>
  <si>
    <t>26-Apr-2022</t>
  </si>
  <si>
    <t>10:43:58</t>
  </si>
  <si>
    <t>E1110</t>
  </si>
  <si>
    <t>Rahul Chopra</t>
  </si>
  <si>
    <t>28-Jun-2023</t>
  </si>
  <si>
    <t>08:44:19</t>
  </si>
  <si>
    <t>E1111</t>
  </si>
  <si>
    <t>07-Feb-2023</t>
  </si>
  <si>
    <t>09:09:15</t>
  </si>
  <si>
    <t>E1112</t>
  </si>
  <si>
    <t>Nidhi Joshi</t>
  </si>
  <si>
    <t>11-Jun-2021</t>
  </si>
  <si>
    <t>10:55:24</t>
  </si>
  <si>
    <t>E1113</t>
  </si>
  <si>
    <t>Madhuri Mishra</t>
  </si>
  <si>
    <t>03-Aug-2023</t>
  </si>
  <si>
    <t>10:16:29</t>
  </si>
  <si>
    <t>great support</t>
  </si>
  <si>
    <t>E1114</t>
  </si>
  <si>
    <t>Tanya Malhotra</t>
  </si>
  <si>
    <t>01-Jun-2021</t>
  </si>
  <si>
    <t>09:22:37</t>
  </si>
  <si>
    <t>E1115</t>
  </si>
  <si>
    <t>Vikram Malhotra</t>
  </si>
  <si>
    <t>27-Feb-2023</t>
  </si>
  <si>
    <t>09:06:15</t>
  </si>
  <si>
    <t>E1116</t>
  </si>
  <si>
    <t>Anjali Gupta</t>
  </si>
  <si>
    <t>17-Jul-2022</t>
  </si>
  <si>
    <t>08:36:55</t>
  </si>
  <si>
    <t>E1117</t>
  </si>
  <si>
    <t>Shreya Agarwal</t>
  </si>
  <si>
    <t>28-May-2024</t>
  </si>
  <si>
    <t>09:14:40</t>
  </si>
  <si>
    <t>E1118</t>
  </si>
  <si>
    <t>Harsh Kumar</t>
  </si>
  <si>
    <t>25-Sep-2022</t>
  </si>
  <si>
    <t>09:02:37</t>
  </si>
  <si>
    <t>E1119</t>
  </si>
  <si>
    <t>Madhuri Gupta</t>
  </si>
  <si>
    <t>26-Dec-2021</t>
  </si>
  <si>
    <t>08:08:50</t>
  </si>
  <si>
    <t>E1120</t>
  </si>
  <si>
    <t>Aakash Shah</t>
  </si>
  <si>
    <t>14-Sep-2023</t>
  </si>
  <si>
    <t>09:47:55</t>
  </si>
  <si>
    <t>E1121</t>
  </si>
  <si>
    <t>Rahul Kumar</t>
  </si>
  <si>
    <t>16-Feb-2024</t>
  </si>
  <si>
    <t>09:05:50</t>
  </si>
  <si>
    <t>E1122</t>
  </si>
  <si>
    <t>Ritika Singh</t>
  </si>
  <si>
    <t>09-Oct-2024</t>
  </si>
  <si>
    <t>10:43:16</t>
  </si>
  <si>
    <t>E1123</t>
  </si>
  <si>
    <t>24-Aug-2023</t>
  </si>
  <si>
    <t>08:39:56</t>
  </si>
  <si>
    <t>E1124</t>
  </si>
  <si>
    <t>Shreya Nair</t>
  </si>
  <si>
    <t>06-Dec-2024</t>
  </si>
  <si>
    <t>09:41:26</t>
  </si>
  <si>
    <t>E1125</t>
  </si>
  <si>
    <t>Priya Gupta</t>
  </si>
  <si>
    <t>19-Jul-2021</t>
  </si>
  <si>
    <t>08:56:34</t>
  </si>
  <si>
    <t>E1126</t>
  </si>
  <si>
    <t>Meera Goyal</t>
  </si>
  <si>
    <t>30-Apr-2023</t>
  </si>
  <si>
    <t>10:06:53</t>
  </si>
  <si>
    <t>E1127</t>
  </si>
  <si>
    <t>Priya Reddy</t>
  </si>
  <si>
    <t>30-Jun-2023</t>
  </si>
  <si>
    <t>08:54:23</t>
  </si>
  <si>
    <t>E1128</t>
  </si>
  <si>
    <t>Aditya Reddy</t>
  </si>
  <si>
    <t>08:07:54</t>
  </si>
  <si>
    <t>E1129</t>
  </si>
  <si>
    <t>Nidhi Mehta</t>
  </si>
  <si>
    <t>15-Nov-2022</t>
  </si>
  <si>
    <t>E1130</t>
  </si>
  <si>
    <t>Varun Goyal</t>
  </si>
  <si>
    <t>23-Apr-2022</t>
  </si>
  <si>
    <t>09:49:09</t>
  </si>
  <si>
    <t>E1131</t>
  </si>
  <si>
    <t>Isha Kumar</t>
  </si>
  <si>
    <t>24-Dec-2021</t>
  </si>
  <si>
    <t>08:42:55</t>
  </si>
  <si>
    <t>E1132</t>
  </si>
  <si>
    <t>Meera Nair</t>
  </si>
  <si>
    <t>23-Dec-2021</t>
  </si>
  <si>
    <t>09:03:08</t>
  </si>
  <si>
    <t>E1133</t>
  </si>
  <si>
    <t>Neha Verma</t>
  </si>
  <si>
    <t>12-Jan-2023</t>
  </si>
  <si>
    <t>10:37:06</t>
  </si>
  <si>
    <t>E1134</t>
  </si>
  <si>
    <t>Shreya Patel</t>
  </si>
  <si>
    <t>10-Aug-2024</t>
  </si>
  <si>
    <t>08:03:30</t>
  </si>
  <si>
    <t>E1135</t>
  </si>
  <si>
    <t>Nidhi Singh</t>
  </si>
  <si>
    <t>31-May-2021</t>
  </si>
  <si>
    <t>08:20:38</t>
  </si>
  <si>
    <t>E1136</t>
  </si>
  <si>
    <t>Vikram Jain</t>
  </si>
  <si>
    <t>08-May-2024</t>
  </si>
  <si>
    <t>10:18:29</t>
  </si>
  <si>
    <t>E1137</t>
  </si>
  <si>
    <t>Tanya Singh</t>
  </si>
  <si>
    <t>14-Jul-2023</t>
  </si>
  <si>
    <t>08:26:21</t>
  </si>
  <si>
    <t>E1138</t>
  </si>
  <si>
    <t>Nisha Singh</t>
  </si>
  <si>
    <t>03-Oct-2022</t>
  </si>
  <si>
    <t>10:16:23</t>
  </si>
  <si>
    <t>E1139</t>
  </si>
  <si>
    <t>Rahul Verma</t>
  </si>
  <si>
    <t>17-Jul-2021</t>
  </si>
  <si>
    <t>10:47:23</t>
  </si>
  <si>
    <t>E1140</t>
  </si>
  <si>
    <t>09:55:42</t>
  </si>
  <si>
    <t>E1141</t>
  </si>
  <si>
    <t>Madhuri Patel</t>
  </si>
  <si>
    <t>22-Dec-2022</t>
  </si>
  <si>
    <t>08:36:32</t>
  </si>
  <si>
    <t>E1142</t>
  </si>
  <si>
    <t>Kavita Nair</t>
  </si>
  <si>
    <t>14-Feb-2024</t>
  </si>
  <si>
    <t>09:07:48</t>
  </si>
  <si>
    <t>E1143</t>
  </si>
  <si>
    <t>Nisha Goyal</t>
  </si>
  <si>
    <t>01-Mar-2021</t>
  </si>
  <si>
    <t>08:17:44</t>
  </si>
  <si>
    <t>E1144</t>
  </si>
  <si>
    <t>Rohan Reddy</t>
  </si>
  <si>
    <t>21-Oct-2021</t>
  </si>
  <si>
    <t>10:42:25</t>
  </si>
  <si>
    <t>E1145</t>
  </si>
  <si>
    <t>Yash Sharma</t>
  </si>
  <si>
    <t>10-Feb-2023</t>
  </si>
  <si>
    <t>09:29:21</t>
  </si>
  <si>
    <t>E1146</t>
  </si>
  <si>
    <t>Komal Iyer</t>
  </si>
  <si>
    <t>15-Nov-2021</t>
  </si>
  <si>
    <t>08:48:39</t>
  </si>
  <si>
    <t>E1147</t>
  </si>
  <si>
    <t>Deepak Chopra</t>
  </si>
  <si>
    <t>29-Apr-2023</t>
  </si>
  <si>
    <t>09:13:48</t>
  </si>
  <si>
    <t>E1148</t>
  </si>
  <si>
    <t>16-Dec-2023</t>
  </si>
  <si>
    <t>10:19:02</t>
  </si>
  <si>
    <t>E1149</t>
  </si>
  <si>
    <t>Priya Sharma</t>
  </si>
  <si>
    <t>09-Mar-2022</t>
  </si>
  <si>
    <t>08:48:16</t>
  </si>
  <si>
    <t>E1150</t>
  </si>
  <si>
    <t>Amit Agarwal</t>
  </si>
  <si>
    <t>22-Sep-2021</t>
  </si>
  <si>
    <t>09:34:45</t>
  </si>
  <si>
    <t>E1151</t>
  </si>
  <si>
    <t>Varun Reddy</t>
  </si>
  <si>
    <t>28-Mar-2021</t>
  </si>
  <si>
    <t>09:01:29</t>
  </si>
  <si>
    <t>E1152</t>
  </si>
  <si>
    <t>Nisha Mishra</t>
  </si>
  <si>
    <t>16-Aug-2022</t>
  </si>
  <si>
    <t>08:25:01</t>
  </si>
  <si>
    <t>E1153</t>
  </si>
  <si>
    <t>Shreya Malhotra</t>
  </si>
  <si>
    <t>14-Jun-2023</t>
  </si>
  <si>
    <t>08:15:27</t>
  </si>
  <si>
    <t>E1154</t>
  </si>
  <si>
    <t>Rahul Bansal</t>
  </si>
  <si>
    <t>30-Mar-2022</t>
  </si>
  <si>
    <t>09:49:10</t>
  </si>
  <si>
    <t>E1155</t>
  </si>
  <si>
    <t>Neha Saxena</t>
  </si>
  <si>
    <t>21-Dec-2022</t>
  </si>
  <si>
    <t>10:52:41</t>
  </si>
  <si>
    <t>E1156</t>
  </si>
  <si>
    <t>22-Dec-2021</t>
  </si>
  <si>
    <t>10:09:48</t>
  </si>
  <si>
    <t>E1157</t>
  </si>
  <si>
    <t>Harsh Agarwal</t>
  </si>
  <si>
    <t>26-Oct-2024</t>
  </si>
  <si>
    <t>10:41:40</t>
  </si>
  <si>
    <t>E1158</t>
  </si>
  <si>
    <t>Yash Iyer</t>
  </si>
  <si>
    <t>20-May-2021</t>
  </si>
  <si>
    <t>09:28:40</t>
  </si>
  <si>
    <t>E1159</t>
  </si>
  <si>
    <t>04-Aug-2023</t>
  </si>
  <si>
    <t>09:02:03</t>
  </si>
  <si>
    <t>E1160</t>
  </si>
  <si>
    <t>Yash Verma</t>
  </si>
  <si>
    <t>03-Apr-2024</t>
  </si>
  <si>
    <t>10:50:47</t>
  </si>
  <si>
    <t>E1161</t>
  </si>
  <si>
    <t>24-May-2024</t>
  </si>
  <si>
    <t>09:32:09</t>
  </si>
  <si>
    <t>E1162</t>
  </si>
  <si>
    <t>Tanya Iyer</t>
  </si>
  <si>
    <t>22-Mar-2021</t>
  </si>
  <si>
    <t>08:45:28</t>
  </si>
  <si>
    <t>E1163</t>
  </si>
  <si>
    <t>Shreya Joshi</t>
  </si>
  <si>
    <t>03-Aug-2022</t>
  </si>
  <si>
    <t>09:26:49</t>
  </si>
  <si>
    <t>E1164</t>
  </si>
  <si>
    <t>13-Jul-2021</t>
  </si>
  <si>
    <t>10:43:24</t>
  </si>
  <si>
    <t>E1165</t>
  </si>
  <si>
    <t>Isha Jain</t>
  </si>
  <si>
    <t>16-Jun-2021</t>
  </si>
  <si>
    <t>10:42:09</t>
  </si>
  <si>
    <t>E1166</t>
  </si>
  <si>
    <t>Siddharth Bansal</t>
  </si>
  <si>
    <t>27-Sep-2022</t>
  </si>
  <si>
    <t>10:24:41</t>
  </si>
  <si>
    <t>E1167</t>
  </si>
  <si>
    <t>Arjun Saxena</t>
  </si>
  <si>
    <t>08-Nov-2023</t>
  </si>
  <si>
    <t>09:01:23</t>
  </si>
  <si>
    <t>E1168</t>
  </si>
  <si>
    <t>09-Oct-2021</t>
  </si>
  <si>
    <t>08:04:18</t>
  </si>
  <si>
    <t>E1169</t>
  </si>
  <si>
    <t>19-Jun-2024</t>
  </si>
  <si>
    <t>08:38:24</t>
  </si>
  <si>
    <t>E1170</t>
  </si>
  <si>
    <t>Varun Jain</t>
  </si>
  <si>
    <t>31-Mar-2021</t>
  </si>
  <si>
    <t>09:23:43</t>
  </si>
  <si>
    <t>E1171</t>
  </si>
  <si>
    <t>Shreya Gupta</t>
  </si>
  <si>
    <t>30-Dec-2023</t>
  </si>
  <si>
    <t>08:19:51</t>
  </si>
  <si>
    <t>E1172</t>
  </si>
  <si>
    <t>Varun Mehta</t>
  </si>
  <si>
    <t>09:49:24</t>
  </si>
  <si>
    <t>E1173</t>
  </si>
  <si>
    <t>Sneha Mehta</t>
  </si>
  <si>
    <t>17-Apr-2021</t>
  </si>
  <si>
    <t>10:30:55</t>
  </si>
  <si>
    <t>E1174</t>
  </si>
  <si>
    <t>Isha Saxena</t>
  </si>
  <si>
    <t>21-Jun-2021</t>
  </si>
  <si>
    <t>E1175</t>
  </si>
  <si>
    <t>Varun Chopra</t>
  </si>
  <si>
    <t>13-Jul-2023</t>
  </si>
  <si>
    <t>09:59:01</t>
  </si>
  <si>
    <t>E1176</t>
  </si>
  <si>
    <t>Aakash Reddy</t>
  </si>
  <si>
    <t>17-Jun-2021</t>
  </si>
  <si>
    <t>09:14:01</t>
  </si>
  <si>
    <t>E1177</t>
  </si>
  <si>
    <t>Siddharth Iyer</t>
  </si>
  <si>
    <t>20-Mar-2021</t>
  </si>
  <si>
    <t>09:58:53</t>
  </si>
  <si>
    <t>E1178</t>
  </si>
  <si>
    <t>12-Jun-2021</t>
  </si>
  <si>
    <t>08:16:13</t>
  </si>
  <si>
    <t>E1179</t>
  </si>
  <si>
    <t>Komal Jain</t>
  </si>
  <si>
    <t>08:19:07</t>
  </si>
  <si>
    <t>E1180</t>
  </si>
  <si>
    <t>Yash Jain</t>
  </si>
  <si>
    <t>16-Aug-2021</t>
  </si>
  <si>
    <t>09:38:34</t>
  </si>
  <si>
    <t>E1181</t>
  </si>
  <si>
    <t>Pooja Kumar</t>
  </si>
  <si>
    <t>04-Jan-2021</t>
  </si>
  <si>
    <t>10:22:15</t>
  </si>
  <si>
    <t>E1182</t>
  </si>
  <si>
    <t>Nidhi Verma</t>
  </si>
  <si>
    <t>14-Dec-2023</t>
  </si>
  <si>
    <t>10:32:50</t>
  </si>
  <si>
    <t>E1183</t>
  </si>
  <si>
    <t>Isha Agarwal</t>
  </si>
  <si>
    <t>04-Feb-2023</t>
  </si>
  <si>
    <t>09:47:01</t>
  </si>
  <si>
    <t>E1184</t>
  </si>
  <si>
    <t>Pooja Singh</t>
  </si>
  <si>
    <t>01-Apr-2021</t>
  </si>
  <si>
    <t>09:34:21</t>
  </si>
  <si>
    <t>E1185</t>
  </si>
  <si>
    <t>Harsh Malhotra</t>
  </si>
  <si>
    <t>04-Oct-2021</t>
  </si>
  <si>
    <t>08:45:49</t>
  </si>
  <si>
    <t>E1186</t>
  </si>
  <si>
    <t>Karan Patel</t>
  </si>
  <si>
    <t>09:32:25</t>
  </si>
  <si>
    <t>E1187</t>
  </si>
  <si>
    <t>Priya Mehta</t>
  </si>
  <si>
    <t>08-Apr-2021</t>
  </si>
  <si>
    <t>10:21:17</t>
  </si>
  <si>
    <t>E1188</t>
  </si>
  <si>
    <t>Aditya Bansal</t>
  </si>
  <si>
    <t>26-Nov-2022</t>
  </si>
  <si>
    <t>08:31:44</t>
  </si>
  <si>
    <t>E1189</t>
  </si>
  <si>
    <t>Tanya Saxena</t>
  </si>
  <si>
    <t>20-May-2023</t>
  </si>
  <si>
    <t>08:27:38</t>
  </si>
  <si>
    <t>E1190</t>
  </si>
  <si>
    <t>Anjali Iyer</t>
  </si>
  <si>
    <t>03-Nov-2022</t>
  </si>
  <si>
    <t>10:18:19</t>
  </si>
  <si>
    <t>E1191</t>
  </si>
  <si>
    <t>10:55:58</t>
  </si>
  <si>
    <t>E1192</t>
  </si>
  <si>
    <t>Yash Patel</t>
  </si>
  <si>
    <t>15-Jan-2023</t>
  </si>
  <si>
    <t>10:51:47</t>
  </si>
  <si>
    <t>E1193</t>
  </si>
  <si>
    <t>Arjun Jain</t>
  </si>
  <si>
    <t>08:15:49</t>
  </si>
  <si>
    <t>E1194</t>
  </si>
  <si>
    <t>Suresh Mishra</t>
  </si>
  <si>
    <t>22-Oct-2024</t>
  </si>
  <si>
    <t>09:23:23</t>
  </si>
  <si>
    <t>E1195</t>
  </si>
  <si>
    <t>06-Oct-2022</t>
  </si>
  <si>
    <t>10:17:15</t>
  </si>
  <si>
    <t>E1196</t>
  </si>
  <si>
    <t>Sneha Agarwal</t>
  </si>
  <si>
    <t>21-Jun-2022</t>
  </si>
  <si>
    <t>09:45:28</t>
  </si>
  <si>
    <t>E1197</t>
  </si>
  <si>
    <t>Madhuri Agarwal</t>
  </si>
  <si>
    <t>08:28:11</t>
  </si>
  <si>
    <t>E1198</t>
  </si>
  <si>
    <t>01-Feb-2024</t>
  </si>
  <si>
    <t>10:18:57</t>
  </si>
  <si>
    <t>E1199</t>
  </si>
  <si>
    <t>Siddharth Joshi</t>
  </si>
  <si>
    <t>06-Sep-2021</t>
  </si>
  <si>
    <t>08:50:08</t>
  </si>
  <si>
    <t>E1200</t>
  </si>
  <si>
    <t>04-Feb-2024</t>
  </si>
  <si>
    <t>E1201</t>
  </si>
  <si>
    <t>Suresh Agarwal</t>
  </si>
  <si>
    <t>23-Mar-2024</t>
  </si>
  <si>
    <t>08:08:20</t>
  </si>
  <si>
    <t>E1202</t>
  </si>
  <si>
    <t>Deepak Saxena</t>
  </si>
  <si>
    <t>10:37:11</t>
  </si>
  <si>
    <t>E1203</t>
  </si>
  <si>
    <t>Aakash Patel</t>
  </si>
  <si>
    <t>15-Sep-2022</t>
  </si>
  <si>
    <t>08:10:20</t>
  </si>
  <si>
    <t>E1204</t>
  </si>
  <si>
    <t>Aakash Gupta</t>
  </si>
  <si>
    <t>07-Feb-2022</t>
  </si>
  <si>
    <t>10:35:17</t>
  </si>
  <si>
    <t>E1205</t>
  </si>
  <si>
    <t>Ritika Verma</t>
  </si>
  <si>
    <t>17-Dec-2021</t>
  </si>
  <si>
    <t>10:39:46</t>
  </si>
  <si>
    <t>E1206</t>
  </si>
  <si>
    <t>08:41:49</t>
  </si>
  <si>
    <t>E1207</t>
  </si>
  <si>
    <t>Karan Mishra</t>
  </si>
  <si>
    <t>17-Oct-2023</t>
  </si>
  <si>
    <t>10:34:18</t>
  </si>
  <si>
    <t>E1208</t>
  </si>
  <si>
    <t>Pooja Bansal</t>
  </si>
  <si>
    <t>30-May-2021</t>
  </si>
  <si>
    <t>10:03:10</t>
  </si>
  <si>
    <t>E1209</t>
  </si>
  <si>
    <t>Deepak Mehta</t>
  </si>
  <si>
    <t>10:20:46</t>
  </si>
  <si>
    <t>E1210</t>
  </si>
  <si>
    <t>Arjun Reddy</t>
  </si>
  <si>
    <t>11-May-2022</t>
  </si>
  <si>
    <t>09:07:17</t>
  </si>
  <si>
    <t>E1211</t>
  </si>
  <si>
    <t>Neha Patel</t>
  </si>
  <si>
    <t>14-Jun-2024</t>
  </si>
  <si>
    <t>09:15:55</t>
  </si>
  <si>
    <t>E1212</t>
  </si>
  <si>
    <t>Rohan Mishra</t>
  </si>
  <si>
    <t>23-Nov-2021</t>
  </si>
  <si>
    <t>09:32:29</t>
  </si>
  <si>
    <t>E1213</t>
  </si>
  <si>
    <t>Amit Verma</t>
  </si>
  <si>
    <t>09-May-2022</t>
  </si>
  <si>
    <t>08:37:22</t>
  </si>
  <si>
    <t>E1214</t>
  </si>
  <si>
    <t>Kavita Jain</t>
  </si>
  <si>
    <t>05-Jan-2024</t>
  </si>
  <si>
    <t>08:54:06</t>
  </si>
  <si>
    <t>E1215</t>
  </si>
  <si>
    <t>Vikram Reddy</t>
  </si>
  <si>
    <t>03-Apr-2021</t>
  </si>
  <si>
    <t>09:03:36</t>
  </si>
  <si>
    <t>E1216</t>
  </si>
  <si>
    <t>Ritika Gupta</t>
  </si>
  <si>
    <t>30-Oct-2023</t>
  </si>
  <si>
    <t>09:48:35</t>
  </si>
  <si>
    <t>E1217</t>
  </si>
  <si>
    <t>17-Feb-2024</t>
  </si>
  <si>
    <t>09:48:09</t>
  </si>
  <si>
    <t>E1218</t>
  </si>
  <si>
    <t>08-Oct-2021</t>
  </si>
  <si>
    <t>10:21:51</t>
  </si>
  <si>
    <t>E1219</t>
  </si>
  <si>
    <t>09-Jun-2024</t>
  </si>
  <si>
    <t>09:10:25</t>
  </si>
  <si>
    <t>E1220</t>
  </si>
  <si>
    <t>Rohan Saxena</t>
  </si>
  <si>
    <t>31-Aug-2023</t>
  </si>
  <si>
    <t>08:23:21</t>
  </si>
  <si>
    <t>E1221</t>
  </si>
  <si>
    <t>Manish Gupta</t>
  </si>
  <si>
    <t>28-Jun-2022</t>
  </si>
  <si>
    <t>10:50:49</t>
  </si>
  <si>
    <t>E1222</t>
  </si>
  <si>
    <t>10-Dec-2023</t>
  </si>
  <si>
    <t>10:46:39</t>
  </si>
  <si>
    <t>E1223</t>
  </si>
  <si>
    <t>26-Jan-2022</t>
  </si>
  <si>
    <t>08:28:20</t>
  </si>
  <si>
    <t>E1224</t>
  </si>
  <si>
    <t>08-May-2021</t>
  </si>
  <si>
    <t>10:08:33</t>
  </si>
  <si>
    <t>E1225</t>
  </si>
  <si>
    <t>Kavita Saxena</t>
  </si>
  <si>
    <t>21-Dec-2021</t>
  </si>
  <si>
    <t>09:58:34</t>
  </si>
  <si>
    <t>E1226</t>
  </si>
  <si>
    <t>Harsh Shah</t>
  </si>
  <si>
    <t>20-May-2022</t>
  </si>
  <si>
    <t>09:35:19</t>
  </si>
  <si>
    <t>E1227</t>
  </si>
  <si>
    <t>Anjali Mehta</t>
  </si>
  <si>
    <t>10-Sep-2023</t>
  </si>
  <si>
    <t>09:35:59</t>
  </si>
  <si>
    <t>E1228</t>
  </si>
  <si>
    <t>Neha Mishra</t>
  </si>
  <si>
    <t>08-Dec-2022</t>
  </si>
  <si>
    <t>08:18:02</t>
  </si>
  <si>
    <t>E1229</t>
  </si>
  <si>
    <t>Madhuri Malhotra</t>
  </si>
  <si>
    <t>15-Mar-2022</t>
  </si>
  <si>
    <t>08:52:34</t>
  </si>
  <si>
    <t>E1230</t>
  </si>
  <si>
    <t>Neha Jain</t>
  </si>
  <si>
    <t>14-Apr-2021</t>
  </si>
  <si>
    <t>10:57:33</t>
  </si>
  <si>
    <t>E1231</t>
  </si>
  <si>
    <t>Neha Chopra</t>
  </si>
  <si>
    <t>25-Jul-2021</t>
  </si>
  <si>
    <t>10:49:08</t>
  </si>
  <si>
    <t>E1232</t>
  </si>
  <si>
    <t>12-Aug-2022</t>
  </si>
  <si>
    <t>09:18:41</t>
  </si>
  <si>
    <t>E1233</t>
  </si>
  <si>
    <t>Manish Nair</t>
  </si>
  <si>
    <t>06-May-2023</t>
  </si>
  <si>
    <t>08:59:58</t>
  </si>
  <si>
    <t>E1234</t>
  </si>
  <si>
    <t>Kavita Joshi</t>
  </si>
  <si>
    <t>19-Jan-2021</t>
  </si>
  <si>
    <t>09:36:38</t>
  </si>
  <si>
    <t>E1235</t>
  </si>
  <si>
    <t>09:17:12</t>
  </si>
  <si>
    <t>E1236</t>
  </si>
  <si>
    <t>Sneha Malhotra</t>
  </si>
  <si>
    <t>29-Jan-2021</t>
  </si>
  <si>
    <t>10:21:50</t>
  </si>
  <si>
    <t>E1237</t>
  </si>
  <si>
    <t>Shreya Bansal</t>
  </si>
  <si>
    <t>27-Jun-2021</t>
  </si>
  <si>
    <t>09:42:06</t>
  </si>
  <si>
    <t>E1238</t>
  </si>
  <si>
    <t>Rohan Nair</t>
  </si>
  <si>
    <t>25-Feb-2023</t>
  </si>
  <si>
    <t>08:28:48</t>
  </si>
  <si>
    <t>E1239</t>
  </si>
  <si>
    <t>Manish Mishra</t>
  </si>
  <si>
    <t>31-Aug-2024</t>
  </si>
  <si>
    <t>09:44:15</t>
  </si>
  <si>
    <t>E1240</t>
  </si>
  <si>
    <t>Anjali Joshi</t>
  </si>
  <si>
    <t>14-Nov-2024</t>
  </si>
  <si>
    <t>08:40:58</t>
  </si>
  <si>
    <t>E1241</t>
  </si>
  <si>
    <t>Pooja Nair</t>
  </si>
  <si>
    <t>10-Nov-2021</t>
  </si>
  <si>
    <t>09:47:38</t>
  </si>
  <si>
    <t>E1242</t>
  </si>
  <si>
    <t>25-Oct-2024</t>
  </si>
  <si>
    <t>10:55:50</t>
  </si>
  <si>
    <t>E1243</t>
  </si>
  <si>
    <t>07-May-2021</t>
  </si>
  <si>
    <t>10:57:32</t>
  </si>
  <si>
    <t>E1244</t>
  </si>
  <si>
    <t>08:45:37</t>
  </si>
  <si>
    <t>E1245</t>
  </si>
  <si>
    <t>Aakash Malhotra</t>
  </si>
  <si>
    <t>28-Sep-2021</t>
  </si>
  <si>
    <t>10:26:29</t>
  </si>
  <si>
    <t>E1246</t>
  </si>
  <si>
    <t>Deepak Gupta</t>
  </si>
  <si>
    <t>06-Jun-2022</t>
  </si>
  <si>
    <t>08:47:13</t>
  </si>
  <si>
    <t>E1247</t>
  </si>
  <si>
    <t>Nisha Reddy</t>
  </si>
  <si>
    <t>22-May-2021</t>
  </si>
  <si>
    <t>09:02:18</t>
  </si>
  <si>
    <t>E1248</t>
  </si>
  <si>
    <t>08-Jul-2023</t>
  </si>
  <si>
    <t>09:24:05</t>
  </si>
  <si>
    <t>E1249</t>
  </si>
  <si>
    <t>Isha Reddy</t>
  </si>
  <si>
    <t>06-Jan-2024</t>
  </si>
  <si>
    <t>09:33:08</t>
  </si>
  <si>
    <t>E1250</t>
  </si>
  <si>
    <t>Amit Sharma</t>
  </si>
  <si>
    <t>10:34:27</t>
  </si>
  <si>
    <t>E1251</t>
  </si>
  <si>
    <t>14-Nov-2021</t>
  </si>
  <si>
    <t>09:12:59</t>
  </si>
  <si>
    <t>E1252</t>
  </si>
  <si>
    <t>Tanya Chopra</t>
  </si>
  <si>
    <t>27-Feb-2022</t>
  </si>
  <si>
    <t>08:06:38</t>
  </si>
  <si>
    <t>E1253</t>
  </si>
  <si>
    <t>Nidhi Patel</t>
  </si>
  <si>
    <t>04-Apr-2023</t>
  </si>
  <si>
    <t>09:14:34</t>
  </si>
  <si>
    <t>E1254</t>
  </si>
  <si>
    <t>28-Mar-2024</t>
  </si>
  <si>
    <t>10:49:43</t>
  </si>
  <si>
    <t>E1255</t>
  </si>
  <si>
    <t>Anjali Kumar</t>
  </si>
  <si>
    <t>08-Sep-2022</t>
  </si>
  <si>
    <t>09:03:35</t>
  </si>
  <si>
    <t>E1256</t>
  </si>
  <si>
    <t>Nidhi Chopra</t>
  </si>
  <si>
    <t>07-Dec-2022</t>
  </si>
  <si>
    <t>10:42:24</t>
  </si>
  <si>
    <t>E1257</t>
  </si>
  <si>
    <t>Siddharth Chopra</t>
  </si>
  <si>
    <t>07-Sep-2022</t>
  </si>
  <si>
    <t>09:11:48</t>
  </si>
  <si>
    <t>E1258</t>
  </si>
  <si>
    <t>Isha Nair</t>
  </si>
  <si>
    <t>07-Aug-2023</t>
  </si>
  <si>
    <t>08:35:26</t>
  </si>
  <si>
    <t>E1259</t>
  </si>
  <si>
    <t>08-Nov-2022</t>
  </si>
  <si>
    <t>10:05:59</t>
  </si>
  <si>
    <t>E1260</t>
  </si>
  <si>
    <t>12-Feb-2023</t>
  </si>
  <si>
    <t>10:38:38</t>
  </si>
  <si>
    <t>E1261</t>
  </si>
  <si>
    <t>04-Mar-2022</t>
  </si>
  <si>
    <t>09:19:58</t>
  </si>
  <si>
    <t>E1262</t>
  </si>
  <si>
    <t>Karan Singh</t>
  </si>
  <si>
    <t>25-Nov-2024</t>
  </si>
  <si>
    <t>10:45:13</t>
  </si>
  <si>
    <t>E1263</t>
  </si>
  <si>
    <t>Rohan Gupta</t>
  </si>
  <si>
    <t>29-Dec-2023</t>
  </si>
  <si>
    <t>10:22:19</t>
  </si>
  <si>
    <t>E1264</t>
  </si>
  <si>
    <t>Aditya Agarwal</t>
  </si>
  <si>
    <t>20-Aug-2023</t>
  </si>
  <si>
    <t>09:58:13</t>
  </si>
  <si>
    <t>E1265</t>
  </si>
  <si>
    <t>03-Feb-2021</t>
  </si>
  <si>
    <t>E1266</t>
  </si>
  <si>
    <t>17-Feb-2023</t>
  </si>
  <si>
    <t>10:53:15</t>
  </si>
  <si>
    <t>E1267</t>
  </si>
  <si>
    <t>11-Dec-2021</t>
  </si>
  <si>
    <t>10:50:22</t>
  </si>
  <si>
    <t>E1268</t>
  </si>
  <si>
    <t>08:53:54</t>
  </si>
  <si>
    <t>E1269</t>
  </si>
  <si>
    <t>Amit Chopra</t>
  </si>
  <si>
    <t>10:09:00</t>
  </si>
  <si>
    <t>E1270</t>
  </si>
  <si>
    <t>Meera Patel</t>
  </si>
  <si>
    <t>02-Feb-2021</t>
  </si>
  <si>
    <t>08:34:35</t>
  </si>
  <si>
    <t>E1271</t>
  </si>
  <si>
    <t>26-Oct-2023</t>
  </si>
  <si>
    <t>10:43:27</t>
  </si>
  <si>
    <t>E1272</t>
  </si>
  <si>
    <t>Madhuri Singh</t>
  </si>
  <si>
    <t>29-Jan-2022</t>
  </si>
  <si>
    <t>10:33:16</t>
  </si>
  <si>
    <t>E1273</t>
  </si>
  <si>
    <t>Tanya Bansal</t>
  </si>
  <si>
    <t>12-Apr-2023</t>
  </si>
  <si>
    <t>09:36:15</t>
  </si>
  <si>
    <t>E1274</t>
  </si>
  <si>
    <t>11-Apr-2023</t>
  </si>
  <si>
    <t>09:24:35</t>
  </si>
  <si>
    <t>E1275</t>
  </si>
  <si>
    <t>Amit Joshi</t>
  </si>
  <si>
    <t>08-Jun-2023</t>
  </si>
  <si>
    <t>10:50:21</t>
  </si>
  <si>
    <t>E1276</t>
  </si>
  <si>
    <t>18-Nov-2024</t>
  </si>
  <si>
    <t>E1277</t>
  </si>
  <si>
    <t>Madhuri Shah</t>
  </si>
  <si>
    <t>07-Oct-2022</t>
  </si>
  <si>
    <t>08:13:37</t>
  </si>
  <si>
    <t>E1278</t>
  </si>
  <si>
    <t>Rahul Gupta</t>
  </si>
  <si>
    <t>06-Mar-2024</t>
  </si>
  <si>
    <t>09:43:57</t>
  </si>
  <si>
    <t>E1279</t>
  </si>
  <si>
    <t>20-Apr-2021</t>
  </si>
  <si>
    <t>08:27:14</t>
  </si>
  <si>
    <t>E1280</t>
  </si>
  <si>
    <t>Shreya Jain</t>
  </si>
  <si>
    <t>02-Mar-2021</t>
  </si>
  <si>
    <t>10:17:50</t>
  </si>
  <si>
    <t>E1281</t>
  </si>
  <si>
    <t>16-Jan-2022</t>
  </si>
  <si>
    <t>10:37:42</t>
  </si>
  <si>
    <t>E1282</t>
  </si>
  <si>
    <t>18-Jun-2021</t>
  </si>
  <si>
    <t>09:09:24</t>
  </si>
  <si>
    <t>E1283</t>
  </si>
  <si>
    <t>Suresh Iyer</t>
  </si>
  <si>
    <t>07-Jul-2021</t>
  </si>
  <si>
    <t>08:19:28</t>
  </si>
  <si>
    <t>E1284</t>
  </si>
  <si>
    <t>10:35:32</t>
  </si>
  <si>
    <t>E1285</t>
  </si>
  <si>
    <t>Rahul Reddy</t>
  </si>
  <si>
    <t>28-Feb-2023</t>
  </si>
  <si>
    <t>08:18:26</t>
  </si>
  <si>
    <t>E1286</t>
  </si>
  <si>
    <t>Aditya Goyal</t>
  </si>
  <si>
    <t>04-Nov-2024</t>
  </si>
  <si>
    <t>09:10:08</t>
  </si>
  <si>
    <t>E1287</t>
  </si>
  <si>
    <t>Kavita Kumar</t>
  </si>
  <si>
    <t>10-Jun-2023</t>
  </si>
  <si>
    <t>09:26:19</t>
  </si>
  <si>
    <t>E1288</t>
  </si>
  <si>
    <t>27-Jul-2023</t>
  </si>
  <si>
    <t>08:08:19</t>
  </si>
  <si>
    <t>E1289</t>
  </si>
  <si>
    <t>21-Jun-2023</t>
  </si>
  <si>
    <t>09:27:52</t>
  </si>
  <si>
    <t>E1290</t>
  </si>
  <si>
    <t>Rohan Jain</t>
  </si>
  <si>
    <t>08:25:20</t>
  </si>
  <si>
    <t>E1291</t>
  </si>
  <si>
    <t>Tanya Nair</t>
  </si>
  <si>
    <t>29-Jul-2022</t>
  </si>
  <si>
    <t>09:23:07</t>
  </si>
  <si>
    <t>E1292</t>
  </si>
  <si>
    <t>Ritika Joshi</t>
  </si>
  <si>
    <t>21-Dec-2024</t>
  </si>
  <si>
    <t>08:28:51</t>
  </si>
  <si>
    <t>E1293</t>
  </si>
  <si>
    <t>21-Jul-2024</t>
  </si>
  <si>
    <t>09:15:16</t>
  </si>
  <si>
    <t>E1294</t>
  </si>
  <si>
    <t>09-May-2024</t>
  </si>
  <si>
    <t>09:37:25</t>
  </si>
  <si>
    <t>E1295</t>
  </si>
  <si>
    <t>Madhuri Chopra</t>
  </si>
  <si>
    <t>07-Dec-2024</t>
  </si>
  <si>
    <t>10:38:40</t>
  </si>
  <si>
    <t>E1296</t>
  </si>
  <si>
    <t>Harsh Nair</t>
  </si>
  <si>
    <t>18-Aug-2024</t>
  </si>
  <si>
    <t>10:02:36</t>
  </si>
  <si>
    <t>E1297</t>
  </si>
  <si>
    <t>Rohan Chopra</t>
  </si>
  <si>
    <t>21-Jul-2021</t>
  </si>
  <si>
    <t>09:14:32</t>
  </si>
  <si>
    <t>E1298</t>
  </si>
  <si>
    <t>06-Feb-2023</t>
  </si>
  <si>
    <t>09:29:49</t>
  </si>
  <si>
    <t>E1299</t>
  </si>
  <si>
    <t>Meera Sharma</t>
  </si>
  <si>
    <t>29-Aug-2022</t>
  </si>
  <si>
    <t>09:58:05</t>
  </si>
  <si>
    <t>E1300</t>
  </si>
  <si>
    <t>04-Dec-2023</t>
  </si>
  <si>
    <t>09:22:30</t>
  </si>
  <si>
    <t>Arithmetic Functions</t>
  </si>
  <si>
    <t>Sum</t>
  </si>
  <si>
    <t>Average</t>
  </si>
  <si>
    <t>Count</t>
  </si>
  <si>
    <t>CountA</t>
  </si>
  <si>
    <t>Text Value</t>
  </si>
  <si>
    <t>CountA-Count</t>
  </si>
  <si>
    <t>sqrt</t>
  </si>
  <si>
    <t>power</t>
  </si>
  <si>
    <t>Now</t>
  </si>
  <si>
    <t>Date</t>
  </si>
  <si>
    <t>Month</t>
  </si>
  <si>
    <t>Year</t>
  </si>
  <si>
    <t>Hour</t>
  </si>
  <si>
    <t>Minute</t>
  </si>
  <si>
    <t>Second</t>
  </si>
  <si>
    <t>Today</t>
  </si>
  <si>
    <t>time</t>
  </si>
  <si>
    <t>Day</t>
  </si>
  <si>
    <t>Helper column</t>
  </si>
  <si>
    <t>Start_char</t>
  </si>
  <si>
    <t>End_char</t>
  </si>
  <si>
    <t>Length of Emp_name</t>
  </si>
  <si>
    <t>Customer_feedback</t>
  </si>
  <si>
    <t>Upper</t>
  </si>
  <si>
    <t>Lower</t>
  </si>
  <si>
    <t>Proper</t>
  </si>
  <si>
    <t>=RIGHT(E1,LEN(E1)-FIND("- ",E1)-1)</t>
  </si>
  <si>
    <t>+91-8208309512</t>
  </si>
  <si>
    <t>+3-3254654</t>
  </si>
  <si>
    <t>+441-435678323</t>
  </si>
  <si>
    <t>Country_code</t>
  </si>
  <si>
    <t>Phone_no</t>
  </si>
  <si>
    <t>New_City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</si>
</sst>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b/>
      <sz val="11.05"/>
      <color rgb="FF000000"/>
      <name val="宋体"/>
      <charset val="134"/>
    </font>
    <font>
      <b/>
      <sz val="11"/>
      <color theme="3" tint="-0.499984740745262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2" borderId="1" xfId="0" applyFont="1" applyFill="1" applyBorder="1"/>
    <xf numFmtId="0" fontId="0" fillId="0" borderId="1" xfId="0" applyBorder="1"/>
    <xf numFmtId="0" fontId="4" fillId="0" borderId="1" xfId="0" applyFont="1" applyBorder="1"/>
    <xf numFmtId="0" fontId="0" fillId="0" borderId="0" xfId="0" applyAlignment="1"/>
    <xf numFmtId="0" fontId="1" fillId="0" borderId="0" xfId="0" applyFont="1"/>
    <xf numFmtId="22" fontId="0" fillId="0" borderId="0" xfId="0" applyNumberFormat="1"/>
    <xf numFmtId="0" fontId="6" fillId="0" borderId="1" xfId="0" applyFont="1" applyBorder="1" applyAlignment="1">
      <alignment horizontal="center" vertical="top"/>
    </xf>
    <xf numFmtId="14" fontId="0" fillId="0" borderId="0" xfId="0" applyNumberFormat="1"/>
    <xf numFmtId="18" fontId="0" fillId="0" borderId="0" xfId="0" applyNumberFormat="1"/>
    <xf numFmtId="0" fontId="2" fillId="0" borderId="2" xfId="0" applyFont="1" applyFill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  <xf numFmtId="0" fontId="0" fillId="0" borderId="0" xfId="0" quotePrefix="1"/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01"/>
  <sheetViews>
    <sheetView tabSelected="1" topLeftCell="P1" zoomScale="139" zoomScaleNormal="85" workbookViewId="0">
      <selection activeCell="Y3" sqref="Y3"/>
    </sheetView>
  </sheetViews>
  <sheetFormatPr defaultColWidth="9" defaultRowHeight="14.4"/>
  <cols>
    <col min="1" max="1" width="12" bestFit="1" customWidth="1"/>
    <col min="2" max="2" width="19.88671875" bestFit="1" customWidth="1"/>
    <col min="3" max="3" width="23.6640625" bestFit="1" customWidth="1"/>
    <col min="4" max="4" width="11.109375" bestFit="1" customWidth="1"/>
    <col min="5" max="5" width="33.77734375" bestFit="1" customWidth="1"/>
    <col min="6" max="6" width="33.77734375" customWidth="1"/>
    <col min="7" max="7" width="3" bestFit="1" customWidth="1"/>
    <col min="8" max="8" width="33.77734375" customWidth="1"/>
    <col min="9" max="9" width="10.6640625" bestFit="1" customWidth="1"/>
    <col min="10" max="10" width="10.6640625" customWidth="1"/>
    <col min="11" max="11" width="16.21875" bestFit="1" customWidth="1"/>
    <col min="12" max="12" width="10.77734375" bestFit="1" customWidth="1"/>
    <col min="13" max="13" width="14.109375" bestFit="1" customWidth="1"/>
    <col min="14" max="14" width="13.33203125" bestFit="1" customWidth="1"/>
    <col min="15" max="15" width="11.21875" bestFit="1" customWidth="1"/>
    <col min="16" max="16" width="9.109375" bestFit="1" customWidth="1"/>
    <col min="17" max="17" width="15.109375" bestFit="1" customWidth="1"/>
    <col min="18" max="18" width="9.5546875" bestFit="1" customWidth="1"/>
    <col min="19" max="19" width="11.5546875" bestFit="1" customWidth="1"/>
    <col min="20" max="20" width="11.6640625" bestFit="1" customWidth="1"/>
    <col min="21" max="21" width="18" bestFit="1" customWidth="1"/>
    <col min="22" max="22" width="10.77734375" bestFit="1" customWidth="1"/>
    <col min="23" max="23" width="10.33203125" bestFit="1" customWidth="1"/>
    <col min="24" max="24" width="10.33203125" customWidth="1"/>
    <col min="25" max="25" width="22.6640625" bestFit="1" customWidth="1"/>
    <col min="26" max="27" width="22.6640625" customWidth="1"/>
    <col min="28" max="28" width="18.44140625" bestFit="1" customWidth="1"/>
    <col min="29" max="31" width="18.44140625" customWidth="1"/>
    <col min="32" max="32" width="12.5546875" bestFit="1" customWidth="1"/>
    <col min="34" max="34" width="18.21875" customWidth="1"/>
    <col min="44" max="44" width="30.6640625" customWidth="1"/>
    <col min="45" max="45" width="13.88671875" customWidth="1"/>
  </cols>
  <sheetData>
    <row r="1" spans="1:45" ht="15.6">
      <c r="A1" s="1" t="s">
        <v>0</v>
      </c>
      <c r="B1" s="1" t="s">
        <v>1</v>
      </c>
      <c r="C1" s="1" t="s">
        <v>1187</v>
      </c>
      <c r="D1" s="1" t="s">
        <v>2</v>
      </c>
      <c r="E1" s="1" t="s">
        <v>1184</v>
      </c>
      <c r="F1" s="14" t="s">
        <v>1192</v>
      </c>
      <c r="G1" s="1"/>
      <c r="H1" s="1"/>
      <c r="I1" s="1" t="s">
        <v>3</v>
      </c>
      <c r="J1" s="1" t="s">
        <v>1198</v>
      </c>
      <c r="K1" s="1" t="s">
        <v>4</v>
      </c>
      <c r="L1" s="8" t="s">
        <v>1183</v>
      </c>
      <c r="M1" s="8" t="s">
        <v>1185</v>
      </c>
      <c r="N1" s="8" t="s">
        <v>1186</v>
      </c>
      <c r="O1" s="8" t="s">
        <v>1176</v>
      </c>
      <c r="P1" s="8" t="s">
        <v>1177</v>
      </c>
      <c r="Q1" s="8" t="s">
        <v>5</v>
      </c>
      <c r="R1" s="8" t="s">
        <v>1178</v>
      </c>
      <c r="S1" s="8" t="s">
        <v>1179</v>
      </c>
      <c r="T1" s="8" t="s">
        <v>1180</v>
      </c>
      <c r="U1" s="1" t="s">
        <v>6</v>
      </c>
      <c r="V1" s="1" t="s">
        <v>7</v>
      </c>
      <c r="W1" s="12"/>
      <c r="Y1" s="11" t="s">
        <v>1188</v>
      </c>
      <c r="Z1" s="11" t="s">
        <v>1189</v>
      </c>
      <c r="AA1" s="11" t="s">
        <v>1190</v>
      </c>
      <c r="AB1" s="11" t="s">
        <v>1191</v>
      </c>
      <c r="AC1" s="13"/>
      <c r="AD1" s="13" t="s">
        <v>1196</v>
      </c>
      <c r="AE1" s="13" t="s">
        <v>1197</v>
      </c>
      <c r="AR1" s="2" t="s">
        <v>8</v>
      </c>
      <c r="AS1" s="2" t="s">
        <v>9</v>
      </c>
    </row>
    <row r="2" spans="1:45">
      <c r="A2" t="s">
        <v>10</v>
      </c>
      <c r="B2" t="s">
        <v>11</v>
      </c>
      <c r="C2">
        <f>LEN(B2)</f>
        <v>10</v>
      </c>
      <c r="D2" t="s">
        <v>12</v>
      </c>
      <c r="E2" t="str">
        <f t="shared" ref="E2:E65" si="0">_xlfn.CONCAT(B2,"(",A2,")"," - ",D2)</f>
        <v>Yash Singh(E1001) - Sales</v>
      </c>
      <c r="F2" t="str">
        <f>RIGHT(E2,LEN(E2)-FIND("- ",E2)-1)</f>
        <v>Sales</v>
      </c>
      <c r="G2">
        <f>FIND("-",E2)</f>
        <v>19</v>
      </c>
      <c r="H2" t="str">
        <f>LEFT(E2,FIND("-",E2)-1)</f>
        <v xml:space="preserve">Yash Singh(E1001) </v>
      </c>
      <c r="I2" t="s">
        <v>13</v>
      </c>
      <c r="J2" t="str">
        <f>SUBSTITUTE(I2,"a","@",1)</f>
        <v>Chenn@i</v>
      </c>
      <c r="K2" t="s">
        <v>14</v>
      </c>
      <c r="L2" t="str">
        <f>TEXT(K2,"dddd")</f>
        <v>Tuesday</v>
      </c>
      <c r="M2" t="str">
        <f>LEFT(L2,3)</f>
        <v>Tue</v>
      </c>
      <c r="N2" t="str">
        <f>RIGHT(L2,3)</f>
        <v>day</v>
      </c>
      <c r="O2">
        <f>MONTH(K2)</f>
        <v>5</v>
      </c>
      <c r="P2">
        <f>YEAR(K2)</f>
        <v>2022</v>
      </c>
      <c r="Q2" t="s">
        <v>15</v>
      </c>
      <c r="R2">
        <f>HOUR(Q2)</f>
        <v>8</v>
      </c>
      <c r="S2">
        <f>MINUTE(Q2)</f>
        <v>8</v>
      </c>
      <c r="T2">
        <f>SECOND(Q2)</f>
        <v>47</v>
      </c>
      <c r="U2">
        <v>37414</v>
      </c>
      <c r="V2">
        <v>46717</v>
      </c>
      <c r="W2" t="str">
        <f>IF(V2&gt;50000,"High Target","Low Target")</f>
        <v>Low Target</v>
      </c>
      <c r="X2" t="str">
        <f>_xlfn.IFS(V2&lt;60000,"Low Target",V2&lt;80000,"Medium Target",V2&gt;80000,"High Target")</f>
        <v>Low Target</v>
      </c>
      <c r="Y2" t="s">
        <v>16</v>
      </c>
      <c r="Z2" t="str">
        <f>UPPER(Y2)</f>
        <v>EXCELLENT LEADERSHIP</v>
      </c>
      <c r="AA2" t="str">
        <f>LOWER(Y2)</f>
        <v>excellent leadership</v>
      </c>
      <c r="AB2" t="str">
        <f>PROPER(Y2)</f>
        <v>Excellent Leadership</v>
      </c>
      <c r="AR2" s="3" t="s">
        <v>17</v>
      </c>
      <c r="AS2" s="3"/>
    </row>
    <row r="3" spans="1:45" ht="15">
      <c r="A3" t="s">
        <v>18</v>
      </c>
      <c r="B3" t="s">
        <v>19</v>
      </c>
      <c r="C3">
        <f t="shared" ref="C3:C66" si="1">LEN(B3)</f>
        <v>11</v>
      </c>
      <c r="D3" t="s">
        <v>12</v>
      </c>
      <c r="E3" t="str">
        <f t="shared" si="0"/>
        <v>Nisha Patel(E1002) - Sales</v>
      </c>
      <c r="F3" t="str">
        <f t="shared" ref="F3:F66" si="2">RIGHT(E3,LEN(E3)-FIND("- ",E3)-1)</f>
        <v>Sales</v>
      </c>
      <c r="G3">
        <f t="shared" ref="G3:G66" si="3">FIND("-",E3)</f>
        <v>20</v>
      </c>
      <c r="H3" t="str">
        <f t="shared" ref="H3:H66" si="4">LEFT(E3,FIND("-",E3)-1)</f>
        <v xml:space="preserve">Nisha Patel(E1002) </v>
      </c>
      <c r="I3" t="s">
        <v>20</v>
      </c>
      <c r="J3" t="str">
        <f t="shared" ref="J3:J66" si="5">SUBSTITUTE(I3,"a","@",1)</f>
        <v>Pune</v>
      </c>
      <c r="K3" t="s">
        <v>21</v>
      </c>
      <c r="L3" t="str">
        <f t="shared" ref="L3:L66" si="6">TEXT(K3,"dddd")</f>
        <v>Thursday</v>
      </c>
      <c r="M3" t="str">
        <f t="shared" ref="M3:M66" si="7">LEFT(L3,3)</f>
        <v>Thu</v>
      </c>
      <c r="N3" t="str">
        <f t="shared" ref="N3:N66" si="8">RIGHT(L3,3)</f>
        <v>day</v>
      </c>
      <c r="O3">
        <f t="shared" ref="O3:O66" si="9">MONTH(K3)</f>
        <v>3</v>
      </c>
      <c r="P3">
        <f t="shared" ref="P3:P66" si="10">YEAR(K3)</f>
        <v>2022</v>
      </c>
      <c r="Q3" t="s">
        <v>22</v>
      </c>
      <c r="R3">
        <f t="shared" ref="R3:R66" si="11">HOUR(Q3)</f>
        <v>8</v>
      </c>
      <c r="S3">
        <f t="shared" ref="S3:S66" si="12">MINUTE(Q3)</f>
        <v>32</v>
      </c>
      <c r="T3">
        <f t="shared" ref="T3:T66" si="13">SECOND(Q3)</f>
        <v>38</v>
      </c>
      <c r="U3">
        <v>39770</v>
      </c>
      <c r="V3">
        <v>41739</v>
      </c>
      <c r="W3" t="str">
        <f t="shared" ref="W3:W66" si="14">IF(V3&gt;50000,"High Target","Low Target")</f>
        <v>Low Target</v>
      </c>
      <c r="X3" t="str">
        <f t="shared" ref="X3:X66" si="15">_xlfn.IFS(V3&lt;60000,"Low Target",V3&lt;80000,"Medium Target",V3&gt;80000,"High Target")</f>
        <v>Low Target</v>
      </c>
      <c r="Y3" t="s">
        <v>23</v>
      </c>
      <c r="Z3" t="str">
        <f t="shared" ref="Z3:Z66" si="16">UPPER(Y3)</f>
        <v>FAST DELIVERY</v>
      </c>
      <c r="AA3" t="str">
        <f t="shared" ref="AA3:AA66" si="17">LOWER(Y3)</f>
        <v>fast delivery</v>
      </c>
      <c r="AB3" t="str">
        <f t="shared" ref="AB3:AB66" si="18">PROPER(Y3)</f>
        <v>Fast Delivery</v>
      </c>
      <c r="AR3" s="4" t="s">
        <v>24</v>
      </c>
      <c r="AS3" s="3"/>
    </row>
    <row r="4" spans="1:45">
      <c r="A4" t="s">
        <v>25</v>
      </c>
      <c r="B4" t="s">
        <v>26</v>
      </c>
      <c r="C4">
        <f t="shared" si="1"/>
        <v>10</v>
      </c>
      <c r="D4" t="s">
        <v>27</v>
      </c>
      <c r="E4" t="str">
        <f t="shared" si="0"/>
        <v>Yash Goyal(E1003) - Marketing</v>
      </c>
      <c r="F4" t="str">
        <f t="shared" si="2"/>
        <v>Marketing</v>
      </c>
      <c r="G4">
        <f t="shared" si="3"/>
        <v>19</v>
      </c>
      <c r="H4" t="str">
        <f t="shared" si="4"/>
        <v xml:space="preserve">Yash Goyal(E1003) </v>
      </c>
      <c r="I4" t="s">
        <v>28</v>
      </c>
      <c r="J4" t="str">
        <f t="shared" si="5"/>
        <v>B@ngalore</v>
      </c>
      <c r="K4" t="s">
        <v>29</v>
      </c>
      <c r="L4" t="str">
        <f t="shared" si="6"/>
        <v>Sunday</v>
      </c>
      <c r="M4" t="str">
        <f t="shared" si="7"/>
        <v>Sun</v>
      </c>
      <c r="N4" t="str">
        <f t="shared" si="8"/>
        <v>day</v>
      </c>
      <c r="O4">
        <f t="shared" si="9"/>
        <v>7</v>
      </c>
      <c r="P4">
        <f t="shared" si="10"/>
        <v>2023</v>
      </c>
      <c r="Q4" t="s">
        <v>30</v>
      </c>
      <c r="R4">
        <f t="shared" si="11"/>
        <v>10</v>
      </c>
      <c r="S4">
        <f t="shared" si="12"/>
        <v>17</v>
      </c>
      <c r="T4">
        <f t="shared" si="13"/>
        <v>51</v>
      </c>
      <c r="U4">
        <v>82395</v>
      </c>
      <c r="V4">
        <v>96970</v>
      </c>
      <c r="W4" t="str">
        <f t="shared" si="14"/>
        <v>High Target</v>
      </c>
      <c r="X4" t="str">
        <f t="shared" si="15"/>
        <v>High Target</v>
      </c>
      <c r="Y4" t="s">
        <v>31</v>
      </c>
      <c r="Z4" t="str">
        <f t="shared" si="16"/>
        <v>CUSTOMER FOCUSED</v>
      </c>
      <c r="AA4" t="str">
        <f t="shared" si="17"/>
        <v>customer focused</v>
      </c>
      <c r="AB4" t="str">
        <f t="shared" si="18"/>
        <v>Customer Focused</v>
      </c>
      <c r="AR4" s="3" t="s">
        <v>32</v>
      </c>
      <c r="AS4" s="3"/>
    </row>
    <row r="5" spans="1:45" ht="15">
      <c r="A5" t="s">
        <v>33</v>
      </c>
      <c r="B5" t="s">
        <v>34</v>
      </c>
      <c r="C5">
        <f t="shared" si="1"/>
        <v>11</v>
      </c>
      <c r="D5" t="s">
        <v>27</v>
      </c>
      <c r="E5" t="str">
        <f t="shared" si="0"/>
        <v>Tanya Joshi(E1004) - Marketing</v>
      </c>
      <c r="F5" t="str">
        <f t="shared" si="2"/>
        <v>Marketing</v>
      </c>
      <c r="G5">
        <f t="shared" si="3"/>
        <v>20</v>
      </c>
      <c r="H5" t="str">
        <f t="shared" si="4"/>
        <v xml:space="preserve">Tanya Joshi(E1004) </v>
      </c>
      <c r="I5" t="s">
        <v>35</v>
      </c>
      <c r="J5" t="str">
        <f t="shared" si="5"/>
        <v>Hyder@bad</v>
      </c>
      <c r="K5" t="s">
        <v>36</v>
      </c>
      <c r="L5" t="str">
        <f t="shared" si="6"/>
        <v>Sunday</v>
      </c>
      <c r="M5" t="str">
        <f t="shared" si="7"/>
        <v>Sun</v>
      </c>
      <c r="N5" t="str">
        <f t="shared" si="8"/>
        <v>day</v>
      </c>
      <c r="O5">
        <f t="shared" si="9"/>
        <v>7</v>
      </c>
      <c r="P5">
        <f t="shared" si="10"/>
        <v>2022</v>
      </c>
      <c r="Q5" t="s">
        <v>37</v>
      </c>
      <c r="R5">
        <f t="shared" si="11"/>
        <v>8</v>
      </c>
      <c r="S5">
        <f t="shared" si="12"/>
        <v>13</v>
      </c>
      <c r="T5">
        <f t="shared" si="13"/>
        <v>48</v>
      </c>
      <c r="U5">
        <v>53757</v>
      </c>
      <c r="V5">
        <v>62059</v>
      </c>
      <c r="W5" t="str">
        <f t="shared" si="14"/>
        <v>High Target</v>
      </c>
      <c r="X5" t="str">
        <f t="shared" si="15"/>
        <v>Medium Target</v>
      </c>
      <c r="Y5" t="s">
        <v>38</v>
      </c>
      <c r="Z5" t="str">
        <f t="shared" si="16"/>
        <v>GOOD COMMUNICATION</v>
      </c>
      <c r="AA5" t="str">
        <f t="shared" si="17"/>
        <v>good communication</v>
      </c>
      <c r="AB5" t="str">
        <f t="shared" si="18"/>
        <v>Good Communication</v>
      </c>
      <c r="AG5" s="15" t="s">
        <v>1165</v>
      </c>
      <c r="AH5" s="15"/>
      <c r="AI5" s="5"/>
      <c r="AJ5">
        <v>1</v>
      </c>
      <c r="AR5" s="4" t="s">
        <v>39</v>
      </c>
      <c r="AS5" s="3"/>
    </row>
    <row r="6" spans="1:45" ht="15">
      <c r="A6" t="s">
        <v>40</v>
      </c>
      <c r="B6" t="s">
        <v>41</v>
      </c>
      <c r="C6">
        <f t="shared" si="1"/>
        <v>12</v>
      </c>
      <c r="D6" t="s">
        <v>42</v>
      </c>
      <c r="E6" t="str">
        <f t="shared" si="0"/>
        <v>Suresh Singh(E1005) - Finance</v>
      </c>
      <c r="F6" t="str">
        <f t="shared" si="2"/>
        <v>Finance</v>
      </c>
      <c r="G6">
        <f t="shared" si="3"/>
        <v>21</v>
      </c>
      <c r="H6" t="str">
        <f t="shared" si="4"/>
        <v xml:space="preserve">Suresh Singh(E1005) </v>
      </c>
      <c r="I6" t="s">
        <v>35</v>
      </c>
      <c r="J6" t="str">
        <f t="shared" si="5"/>
        <v>Hyder@bad</v>
      </c>
      <c r="K6" t="s">
        <v>43</v>
      </c>
      <c r="L6" t="str">
        <f t="shared" si="6"/>
        <v>Tuesday</v>
      </c>
      <c r="M6" t="str">
        <f t="shared" si="7"/>
        <v>Tue</v>
      </c>
      <c r="N6" t="str">
        <f t="shared" si="8"/>
        <v>day</v>
      </c>
      <c r="O6">
        <f t="shared" si="9"/>
        <v>5</v>
      </c>
      <c r="P6">
        <f t="shared" si="10"/>
        <v>2024</v>
      </c>
      <c r="Q6" t="s">
        <v>44</v>
      </c>
      <c r="R6">
        <f t="shared" si="11"/>
        <v>9</v>
      </c>
      <c r="S6">
        <f t="shared" si="12"/>
        <v>51</v>
      </c>
      <c r="T6">
        <f t="shared" si="13"/>
        <v>2</v>
      </c>
      <c r="U6">
        <v>102931</v>
      </c>
      <c r="V6">
        <v>87823</v>
      </c>
      <c r="W6" t="str">
        <f t="shared" si="14"/>
        <v>High Target</v>
      </c>
      <c r="X6" t="str">
        <f t="shared" si="15"/>
        <v>High Target</v>
      </c>
      <c r="Y6" t="s">
        <v>45</v>
      </c>
      <c r="Z6" t="str">
        <f t="shared" si="16"/>
        <v>STRONG PRESENTATION</v>
      </c>
      <c r="AA6" t="str">
        <f t="shared" si="17"/>
        <v>strong presentation</v>
      </c>
      <c r="AB6" t="str">
        <f t="shared" si="18"/>
        <v>Strong Presentation</v>
      </c>
      <c r="AC6" s="14" t="s">
        <v>1193</v>
      </c>
      <c r="AD6" t="str">
        <f>LEFT(AC6,FIND("-",AC6)-1)</f>
        <v>+91</v>
      </c>
      <c r="AE6" t="str">
        <f>RIGHT(AC6,LEN(AC6)-FIND("-",AC6))</f>
        <v>8208309512</v>
      </c>
      <c r="AG6" t="s">
        <v>1166</v>
      </c>
      <c r="AH6">
        <f>SUM(U:U)</f>
        <v>21622710</v>
      </c>
      <c r="AJ6">
        <v>2</v>
      </c>
      <c r="AR6" s="4" t="s">
        <v>46</v>
      </c>
      <c r="AS6" s="3"/>
    </row>
    <row r="7" spans="1:45" ht="15">
      <c r="A7" t="s">
        <v>47</v>
      </c>
      <c r="B7" t="s">
        <v>48</v>
      </c>
      <c r="C7">
        <f t="shared" si="1"/>
        <v>11</v>
      </c>
      <c r="D7" t="s">
        <v>12</v>
      </c>
      <c r="E7" t="str">
        <f t="shared" si="0"/>
        <v>Neha Bansal(E1006) - Sales</v>
      </c>
      <c r="F7" t="str">
        <f t="shared" si="2"/>
        <v>Sales</v>
      </c>
      <c r="G7">
        <f t="shared" si="3"/>
        <v>20</v>
      </c>
      <c r="H7" t="str">
        <f t="shared" si="4"/>
        <v xml:space="preserve">Neha Bansal(E1006) </v>
      </c>
      <c r="I7" t="s">
        <v>13</v>
      </c>
      <c r="J7" t="str">
        <f t="shared" si="5"/>
        <v>Chenn@i</v>
      </c>
      <c r="K7" t="s">
        <v>49</v>
      </c>
      <c r="L7" t="str">
        <f t="shared" si="6"/>
        <v>Thursday</v>
      </c>
      <c r="M7" t="str">
        <f t="shared" si="7"/>
        <v>Thu</v>
      </c>
      <c r="N7" t="str">
        <f t="shared" si="8"/>
        <v>day</v>
      </c>
      <c r="O7">
        <f t="shared" si="9"/>
        <v>7</v>
      </c>
      <c r="P7">
        <f t="shared" si="10"/>
        <v>2024</v>
      </c>
      <c r="Q7" t="s">
        <v>50</v>
      </c>
      <c r="R7">
        <f t="shared" si="11"/>
        <v>10</v>
      </c>
      <c r="S7">
        <f t="shared" si="12"/>
        <v>56</v>
      </c>
      <c r="T7">
        <f t="shared" si="13"/>
        <v>55</v>
      </c>
      <c r="U7">
        <v>61301</v>
      </c>
      <c r="V7">
        <v>63700</v>
      </c>
      <c r="W7" t="str">
        <f t="shared" si="14"/>
        <v>High Target</v>
      </c>
      <c r="X7" t="str">
        <f t="shared" si="15"/>
        <v>Medium Target</v>
      </c>
      <c r="Y7" t="s">
        <v>23</v>
      </c>
      <c r="Z7" t="str">
        <f t="shared" si="16"/>
        <v>FAST DELIVERY</v>
      </c>
      <c r="AA7" t="str">
        <f t="shared" si="17"/>
        <v>fast delivery</v>
      </c>
      <c r="AB7" t="str">
        <f t="shared" si="18"/>
        <v>Fast Delivery</v>
      </c>
      <c r="AC7" s="14" t="s">
        <v>1194</v>
      </c>
      <c r="AD7" t="str">
        <f t="shared" ref="AD7:AD8" si="19">LEFT(AC7,FIND("-",AC7)-1)</f>
        <v>+3</v>
      </c>
      <c r="AE7" t="str">
        <f t="shared" ref="AE7:AE8" si="20">RIGHT(AC7,LEN(AC7)-FIND("-",AC7))</f>
        <v>3254654</v>
      </c>
      <c r="AG7" t="s">
        <v>1167</v>
      </c>
      <c r="AH7">
        <f>AVERAGE(U:U)</f>
        <v>72075.7</v>
      </c>
      <c r="AJ7">
        <v>3</v>
      </c>
      <c r="AR7" s="4" t="s">
        <v>51</v>
      </c>
      <c r="AS7" s="3"/>
    </row>
    <row r="8" spans="1:45" ht="15">
      <c r="A8" t="s">
        <v>52</v>
      </c>
      <c r="B8" t="s">
        <v>53</v>
      </c>
      <c r="C8">
        <f t="shared" si="1"/>
        <v>11</v>
      </c>
      <c r="D8" t="s">
        <v>54</v>
      </c>
      <c r="E8" t="str">
        <f t="shared" si="0"/>
        <v>Rahul Patel(E1007) - HR</v>
      </c>
      <c r="F8" t="str">
        <f t="shared" si="2"/>
        <v>HR</v>
      </c>
      <c r="G8">
        <f t="shared" si="3"/>
        <v>20</v>
      </c>
      <c r="H8" t="str">
        <f t="shared" si="4"/>
        <v xml:space="preserve">Rahul Patel(E1007) </v>
      </c>
      <c r="I8" t="s">
        <v>13</v>
      </c>
      <c r="J8" t="str">
        <f t="shared" si="5"/>
        <v>Chenn@i</v>
      </c>
      <c r="K8" t="s">
        <v>55</v>
      </c>
      <c r="L8" t="str">
        <f t="shared" si="6"/>
        <v>Sunday</v>
      </c>
      <c r="M8" t="str">
        <f t="shared" si="7"/>
        <v>Sun</v>
      </c>
      <c r="N8" t="str">
        <f t="shared" si="8"/>
        <v>day</v>
      </c>
      <c r="O8">
        <f t="shared" si="9"/>
        <v>6</v>
      </c>
      <c r="P8">
        <f t="shared" si="10"/>
        <v>2021</v>
      </c>
      <c r="Q8" t="s">
        <v>56</v>
      </c>
      <c r="R8">
        <f t="shared" si="11"/>
        <v>8</v>
      </c>
      <c r="S8">
        <f t="shared" si="12"/>
        <v>55</v>
      </c>
      <c r="T8">
        <f t="shared" si="13"/>
        <v>6</v>
      </c>
      <c r="U8">
        <v>68128</v>
      </c>
      <c r="V8">
        <v>64911</v>
      </c>
      <c r="W8" t="str">
        <f t="shared" si="14"/>
        <v>High Target</v>
      </c>
      <c r="X8" t="str">
        <f t="shared" si="15"/>
        <v>Medium Target</v>
      </c>
      <c r="Y8" t="s">
        <v>57</v>
      </c>
      <c r="Z8" t="str">
        <f t="shared" si="16"/>
        <v>HELPFUL ATTITUDE</v>
      </c>
      <c r="AA8" t="str">
        <f t="shared" si="17"/>
        <v>helpful attitude</v>
      </c>
      <c r="AB8" t="str">
        <f t="shared" si="18"/>
        <v>Helpful Attitude</v>
      </c>
      <c r="AC8" s="14" t="s">
        <v>1195</v>
      </c>
      <c r="AD8" t="str">
        <f t="shared" si="19"/>
        <v>+441</v>
      </c>
      <c r="AE8" t="str">
        <f t="shared" si="20"/>
        <v>435678323</v>
      </c>
      <c r="AG8" t="s">
        <v>1168</v>
      </c>
      <c r="AH8">
        <f>COUNT(A1:Y301)</f>
        <v>2700</v>
      </c>
      <c r="AJ8">
        <v>4</v>
      </c>
      <c r="AR8" s="4" t="s">
        <v>58</v>
      </c>
      <c r="AS8" s="3"/>
    </row>
    <row r="9" spans="1:45" ht="15">
      <c r="A9" t="s">
        <v>59</v>
      </c>
      <c r="B9" t="s">
        <v>60</v>
      </c>
      <c r="C9">
        <f t="shared" si="1"/>
        <v>10</v>
      </c>
      <c r="D9" t="s">
        <v>54</v>
      </c>
      <c r="E9" t="str">
        <f t="shared" si="0"/>
        <v>Yash Reddy(E1008) - HR</v>
      </c>
      <c r="F9" t="str">
        <f t="shared" si="2"/>
        <v>HR</v>
      </c>
      <c r="G9">
        <f t="shared" si="3"/>
        <v>19</v>
      </c>
      <c r="H9" t="str">
        <f t="shared" si="4"/>
        <v xml:space="preserve">Yash Reddy(E1008) </v>
      </c>
      <c r="I9" t="s">
        <v>35</v>
      </c>
      <c r="J9" t="str">
        <f t="shared" si="5"/>
        <v>Hyder@bad</v>
      </c>
      <c r="K9" t="s">
        <v>61</v>
      </c>
      <c r="L9" t="str">
        <f t="shared" si="6"/>
        <v>Thursday</v>
      </c>
      <c r="M9" t="str">
        <f t="shared" si="7"/>
        <v>Thu</v>
      </c>
      <c r="N9" t="str">
        <f t="shared" si="8"/>
        <v>day</v>
      </c>
      <c r="O9">
        <f t="shared" si="9"/>
        <v>12</v>
      </c>
      <c r="P9">
        <f t="shared" si="10"/>
        <v>2022</v>
      </c>
      <c r="Q9" t="s">
        <v>62</v>
      </c>
      <c r="R9">
        <f t="shared" si="11"/>
        <v>8</v>
      </c>
      <c r="S9">
        <f t="shared" si="12"/>
        <v>42</v>
      </c>
      <c r="T9">
        <f t="shared" si="13"/>
        <v>17</v>
      </c>
      <c r="U9">
        <v>75673</v>
      </c>
      <c r="V9">
        <v>85994</v>
      </c>
      <c r="W9" t="str">
        <f t="shared" si="14"/>
        <v>High Target</v>
      </c>
      <c r="X9" t="str">
        <f t="shared" si="15"/>
        <v>High Target</v>
      </c>
      <c r="Y9" t="s">
        <v>16</v>
      </c>
      <c r="Z9" t="str">
        <f t="shared" si="16"/>
        <v>EXCELLENT LEADERSHIP</v>
      </c>
      <c r="AA9" t="str">
        <f t="shared" si="17"/>
        <v>excellent leadership</v>
      </c>
      <c r="AB9" t="str">
        <f t="shared" si="18"/>
        <v>Excellent Leadership</v>
      </c>
      <c r="AG9" t="s">
        <v>1169</v>
      </c>
      <c r="AH9">
        <f>COUNTA(A1:Y301)</f>
        <v>7521</v>
      </c>
      <c r="AJ9">
        <v>5</v>
      </c>
      <c r="AR9" s="4" t="s">
        <v>63</v>
      </c>
      <c r="AS9" s="3"/>
    </row>
    <row r="10" spans="1:45" ht="15">
      <c r="A10" t="s">
        <v>64</v>
      </c>
      <c r="B10" t="s">
        <v>65</v>
      </c>
      <c r="C10">
        <f t="shared" si="1"/>
        <v>10</v>
      </c>
      <c r="D10" t="s">
        <v>54</v>
      </c>
      <c r="E10" t="str">
        <f t="shared" si="0"/>
        <v>Yash Joshi(E1009) - HR</v>
      </c>
      <c r="F10" t="str">
        <f t="shared" si="2"/>
        <v>HR</v>
      </c>
      <c r="G10">
        <f t="shared" si="3"/>
        <v>19</v>
      </c>
      <c r="H10" t="str">
        <f t="shared" si="4"/>
        <v xml:space="preserve">Yash Joshi(E1009) </v>
      </c>
      <c r="I10" t="s">
        <v>66</v>
      </c>
      <c r="J10" t="str">
        <f t="shared" si="5"/>
        <v>Delhi</v>
      </c>
      <c r="K10" t="s">
        <v>67</v>
      </c>
      <c r="L10" t="str">
        <f t="shared" si="6"/>
        <v>Saturday</v>
      </c>
      <c r="M10" t="str">
        <f t="shared" si="7"/>
        <v>Sat</v>
      </c>
      <c r="N10" t="str">
        <f t="shared" si="8"/>
        <v>day</v>
      </c>
      <c r="O10">
        <f t="shared" si="9"/>
        <v>8</v>
      </c>
      <c r="P10">
        <f t="shared" si="10"/>
        <v>2023</v>
      </c>
      <c r="Q10" t="s">
        <v>68</v>
      </c>
      <c r="R10">
        <f t="shared" si="11"/>
        <v>9</v>
      </c>
      <c r="S10">
        <f t="shared" si="12"/>
        <v>17</v>
      </c>
      <c r="T10">
        <f t="shared" si="13"/>
        <v>59</v>
      </c>
      <c r="U10">
        <v>81335</v>
      </c>
      <c r="V10">
        <v>81943</v>
      </c>
      <c r="W10" t="str">
        <f t="shared" si="14"/>
        <v>High Target</v>
      </c>
      <c r="X10" t="str">
        <f t="shared" si="15"/>
        <v>High Target</v>
      </c>
      <c r="Y10" t="s">
        <v>69</v>
      </c>
      <c r="Z10" t="str">
        <f t="shared" si="16"/>
        <v>GOOD TEAMWORK</v>
      </c>
      <c r="AA10" t="str">
        <f t="shared" si="17"/>
        <v>good teamwork</v>
      </c>
      <c r="AB10" t="str">
        <f t="shared" si="18"/>
        <v>Good Teamwork</v>
      </c>
      <c r="AF10" t="s">
        <v>1171</v>
      </c>
      <c r="AG10" t="s">
        <v>1170</v>
      </c>
      <c r="AH10">
        <f>COUNTA(A1:Y301)-COUNT(A1:Y301)</f>
        <v>4821</v>
      </c>
      <c r="AJ10">
        <v>6</v>
      </c>
      <c r="AR10" s="4" t="s">
        <v>70</v>
      </c>
      <c r="AS10" s="3"/>
    </row>
    <row r="11" spans="1:45" ht="15">
      <c r="A11" t="s">
        <v>71</v>
      </c>
      <c r="B11" t="s">
        <v>72</v>
      </c>
      <c r="C11">
        <f t="shared" si="1"/>
        <v>11</v>
      </c>
      <c r="D11" t="s">
        <v>54</v>
      </c>
      <c r="E11" t="str">
        <f t="shared" si="0"/>
        <v>Rohan Patel(E1010) - HR</v>
      </c>
      <c r="F11" t="str">
        <f t="shared" si="2"/>
        <v>HR</v>
      </c>
      <c r="G11">
        <f t="shared" si="3"/>
        <v>20</v>
      </c>
      <c r="H11" t="str">
        <f t="shared" si="4"/>
        <v xml:space="preserve">Rohan Patel(E1010) </v>
      </c>
      <c r="I11" t="s">
        <v>73</v>
      </c>
      <c r="J11" t="str">
        <f t="shared" si="5"/>
        <v>Mumb@i</v>
      </c>
      <c r="K11" t="s">
        <v>74</v>
      </c>
      <c r="L11" t="str">
        <f t="shared" si="6"/>
        <v>Sunday</v>
      </c>
      <c r="M11" t="str">
        <f t="shared" si="7"/>
        <v>Sun</v>
      </c>
      <c r="N11" t="str">
        <f t="shared" si="8"/>
        <v>day</v>
      </c>
      <c r="O11">
        <f t="shared" si="9"/>
        <v>10</v>
      </c>
      <c r="P11">
        <f t="shared" si="10"/>
        <v>2022</v>
      </c>
      <c r="Q11" t="s">
        <v>75</v>
      </c>
      <c r="R11">
        <f t="shared" si="11"/>
        <v>9</v>
      </c>
      <c r="S11">
        <f t="shared" si="12"/>
        <v>17</v>
      </c>
      <c r="T11">
        <f t="shared" si="13"/>
        <v>4</v>
      </c>
      <c r="U11">
        <v>59448</v>
      </c>
      <c r="V11">
        <v>53826</v>
      </c>
      <c r="W11" t="str">
        <f t="shared" si="14"/>
        <v>High Target</v>
      </c>
      <c r="X11" t="str">
        <f t="shared" si="15"/>
        <v>Low Target</v>
      </c>
      <c r="Y11" t="s">
        <v>76</v>
      </c>
      <c r="Z11" t="str">
        <f t="shared" si="16"/>
        <v>ACCURATE REPORTS</v>
      </c>
      <c r="AA11" t="str">
        <f t="shared" si="17"/>
        <v>accurate reports</v>
      </c>
      <c r="AB11" t="str">
        <f t="shared" si="18"/>
        <v>Accurate Reports</v>
      </c>
      <c r="AG11" t="s">
        <v>1172</v>
      </c>
      <c r="AH11">
        <f>SQRT(67)</f>
        <v>8.1853527718724504</v>
      </c>
      <c r="AJ11">
        <v>7</v>
      </c>
      <c r="AR11" s="4" t="s">
        <v>77</v>
      </c>
      <c r="AS11" s="3"/>
    </row>
    <row r="12" spans="1:45" ht="15">
      <c r="A12" t="s">
        <v>78</v>
      </c>
      <c r="B12" t="s">
        <v>79</v>
      </c>
      <c r="C12">
        <f t="shared" si="1"/>
        <v>12</v>
      </c>
      <c r="D12" t="s">
        <v>27</v>
      </c>
      <c r="E12" t="str">
        <f t="shared" si="0"/>
        <v>Yash Agarwal(E1011) - Marketing</v>
      </c>
      <c r="F12" t="str">
        <f t="shared" si="2"/>
        <v>Marketing</v>
      </c>
      <c r="G12">
        <f t="shared" si="3"/>
        <v>21</v>
      </c>
      <c r="H12" t="str">
        <f t="shared" si="4"/>
        <v xml:space="preserve">Yash Agarwal(E1011) </v>
      </c>
      <c r="I12" t="s">
        <v>80</v>
      </c>
      <c r="J12" t="str">
        <f t="shared" si="5"/>
        <v>Ahmed@bad</v>
      </c>
      <c r="K12" t="s">
        <v>81</v>
      </c>
      <c r="L12" t="str">
        <f t="shared" si="6"/>
        <v>Wednesday</v>
      </c>
      <c r="M12" t="str">
        <f t="shared" si="7"/>
        <v>Wed</v>
      </c>
      <c r="N12" t="str">
        <f t="shared" si="8"/>
        <v>day</v>
      </c>
      <c r="O12">
        <f t="shared" si="9"/>
        <v>10</v>
      </c>
      <c r="P12">
        <f t="shared" si="10"/>
        <v>2021</v>
      </c>
      <c r="Q12" t="s">
        <v>82</v>
      </c>
      <c r="R12">
        <f t="shared" si="11"/>
        <v>9</v>
      </c>
      <c r="S12">
        <f t="shared" si="12"/>
        <v>8</v>
      </c>
      <c r="T12">
        <f t="shared" si="13"/>
        <v>15</v>
      </c>
      <c r="U12">
        <v>91042</v>
      </c>
      <c r="V12">
        <v>88823</v>
      </c>
      <c r="W12" t="str">
        <f t="shared" si="14"/>
        <v>High Target</v>
      </c>
      <c r="X12" t="str">
        <f t="shared" si="15"/>
        <v>High Target</v>
      </c>
      <c r="Y12" t="s">
        <v>23</v>
      </c>
      <c r="Z12" t="str">
        <f t="shared" si="16"/>
        <v>FAST DELIVERY</v>
      </c>
      <c r="AA12" t="str">
        <f t="shared" si="17"/>
        <v>fast delivery</v>
      </c>
      <c r="AB12" t="str">
        <f t="shared" si="18"/>
        <v>Fast Delivery</v>
      </c>
      <c r="AG12" t="s">
        <v>1173</v>
      </c>
      <c r="AH12">
        <f>POWER(16,2)</f>
        <v>256</v>
      </c>
      <c r="AJ12">
        <v>8</v>
      </c>
      <c r="AR12" s="4" t="s">
        <v>83</v>
      </c>
      <c r="AS12" s="3"/>
    </row>
    <row r="13" spans="1:45">
      <c r="A13" t="s">
        <v>84</v>
      </c>
      <c r="B13" t="s">
        <v>85</v>
      </c>
      <c r="C13">
        <f t="shared" si="1"/>
        <v>13</v>
      </c>
      <c r="D13" t="s">
        <v>27</v>
      </c>
      <c r="E13" t="str">
        <f t="shared" si="0"/>
        <v>Manish Chopra(E1012) - Marketing</v>
      </c>
      <c r="F13" t="str">
        <f t="shared" si="2"/>
        <v>Marketing</v>
      </c>
      <c r="G13">
        <f t="shared" si="3"/>
        <v>22</v>
      </c>
      <c r="H13" t="str">
        <f t="shared" si="4"/>
        <v xml:space="preserve">Manish Chopra(E1012) </v>
      </c>
      <c r="I13" t="s">
        <v>35</v>
      </c>
      <c r="J13" t="str">
        <f t="shared" si="5"/>
        <v>Hyder@bad</v>
      </c>
      <c r="K13" t="s">
        <v>86</v>
      </c>
      <c r="L13" t="str">
        <f t="shared" si="6"/>
        <v>Saturday</v>
      </c>
      <c r="M13" t="str">
        <f t="shared" si="7"/>
        <v>Sat</v>
      </c>
      <c r="N13" t="str">
        <f t="shared" si="8"/>
        <v>day</v>
      </c>
      <c r="O13">
        <f t="shared" si="9"/>
        <v>3</v>
      </c>
      <c r="P13">
        <f t="shared" si="10"/>
        <v>2022</v>
      </c>
      <c r="Q13" t="s">
        <v>87</v>
      </c>
      <c r="R13">
        <f t="shared" si="11"/>
        <v>8</v>
      </c>
      <c r="S13">
        <f t="shared" si="12"/>
        <v>32</v>
      </c>
      <c r="T13">
        <f t="shared" si="13"/>
        <v>31</v>
      </c>
      <c r="U13">
        <v>34044</v>
      </c>
      <c r="V13">
        <v>45957</v>
      </c>
      <c r="W13" t="str">
        <f t="shared" si="14"/>
        <v>Low Target</v>
      </c>
      <c r="X13" t="str">
        <f t="shared" si="15"/>
        <v>Low Target</v>
      </c>
      <c r="Y13" t="s">
        <v>214</v>
      </c>
      <c r="Z13" t="str">
        <f t="shared" si="16"/>
        <v>POSITIVE ATTITUDE</v>
      </c>
      <c r="AA13" t="str">
        <f t="shared" si="17"/>
        <v>positive attitude</v>
      </c>
      <c r="AB13" t="str">
        <f t="shared" si="18"/>
        <v>Positive Attitude</v>
      </c>
      <c r="AJ13">
        <v>9</v>
      </c>
    </row>
    <row r="14" spans="1:45">
      <c r="A14" t="s">
        <v>88</v>
      </c>
      <c r="B14" t="s">
        <v>89</v>
      </c>
      <c r="C14">
        <f t="shared" si="1"/>
        <v>10</v>
      </c>
      <c r="D14" t="s">
        <v>54</v>
      </c>
      <c r="E14" t="str">
        <f t="shared" si="0"/>
        <v>Neha Kumar(E1013) - HR</v>
      </c>
      <c r="F14" t="str">
        <f t="shared" si="2"/>
        <v>HR</v>
      </c>
      <c r="G14">
        <f t="shared" si="3"/>
        <v>19</v>
      </c>
      <c r="H14" t="str">
        <f t="shared" si="4"/>
        <v xml:space="preserve">Neha Kumar(E1013) </v>
      </c>
      <c r="I14" t="s">
        <v>90</v>
      </c>
      <c r="J14" t="str">
        <f t="shared" si="5"/>
        <v>Kolk@ta</v>
      </c>
      <c r="K14" t="s">
        <v>91</v>
      </c>
      <c r="L14" t="str">
        <f t="shared" si="6"/>
        <v>Monday</v>
      </c>
      <c r="M14" t="str">
        <f t="shared" si="7"/>
        <v>Mon</v>
      </c>
      <c r="N14" t="str">
        <f t="shared" si="8"/>
        <v>day</v>
      </c>
      <c r="O14">
        <f t="shared" si="9"/>
        <v>5</v>
      </c>
      <c r="P14">
        <f t="shared" si="10"/>
        <v>2024</v>
      </c>
      <c r="Q14" t="s">
        <v>92</v>
      </c>
      <c r="R14">
        <f t="shared" si="11"/>
        <v>8</v>
      </c>
      <c r="S14">
        <f t="shared" si="12"/>
        <v>24</v>
      </c>
      <c r="T14">
        <f t="shared" si="13"/>
        <v>24</v>
      </c>
      <c r="U14">
        <v>94726</v>
      </c>
      <c r="V14">
        <v>79052</v>
      </c>
      <c r="W14" t="str">
        <f t="shared" si="14"/>
        <v>High Target</v>
      </c>
      <c r="X14" t="str">
        <f t="shared" si="15"/>
        <v>Medium Target</v>
      </c>
      <c r="Y14" t="s">
        <v>45</v>
      </c>
      <c r="Z14" t="str">
        <f t="shared" si="16"/>
        <v>STRONG PRESENTATION</v>
      </c>
      <c r="AA14" t="str">
        <f t="shared" si="17"/>
        <v>strong presentation</v>
      </c>
      <c r="AB14" t="str">
        <f t="shared" si="18"/>
        <v>Strong Presentation</v>
      </c>
    </row>
    <row r="15" spans="1:45">
      <c r="A15" t="s">
        <v>93</v>
      </c>
      <c r="B15" t="s">
        <v>94</v>
      </c>
      <c r="C15">
        <f t="shared" si="1"/>
        <v>12</v>
      </c>
      <c r="D15" t="s">
        <v>12</v>
      </c>
      <c r="E15" t="str">
        <f t="shared" si="0"/>
        <v>Vikram Goyal(E1014) - Sales</v>
      </c>
      <c r="F15" t="str">
        <f t="shared" si="2"/>
        <v>Sales</v>
      </c>
      <c r="G15">
        <f t="shared" si="3"/>
        <v>21</v>
      </c>
      <c r="H15" t="str">
        <f t="shared" si="4"/>
        <v xml:space="preserve">Vikram Goyal(E1014) </v>
      </c>
      <c r="I15" t="s">
        <v>20</v>
      </c>
      <c r="J15" t="str">
        <f t="shared" si="5"/>
        <v>Pune</v>
      </c>
      <c r="K15" t="s">
        <v>95</v>
      </c>
      <c r="L15" t="str">
        <f t="shared" si="6"/>
        <v>Monday</v>
      </c>
      <c r="M15" t="str">
        <f t="shared" si="7"/>
        <v>Mon</v>
      </c>
      <c r="N15" t="str">
        <f t="shared" si="8"/>
        <v>day</v>
      </c>
      <c r="O15">
        <f t="shared" si="9"/>
        <v>10</v>
      </c>
      <c r="P15">
        <f t="shared" si="10"/>
        <v>2024</v>
      </c>
      <c r="Q15" t="s">
        <v>96</v>
      </c>
      <c r="R15">
        <f t="shared" si="11"/>
        <v>10</v>
      </c>
      <c r="S15">
        <f t="shared" si="12"/>
        <v>48</v>
      </c>
      <c r="T15">
        <f t="shared" si="13"/>
        <v>17</v>
      </c>
      <c r="U15">
        <v>97663</v>
      </c>
      <c r="V15">
        <v>90370</v>
      </c>
      <c r="W15" t="str">
        <f t="shared" si="14"/>
        <v>High Target</v>
      </c>
      <c r="X15" t="str">
        <f t="shared" si="15"/>
        <v>High Target</v>
      </c>
      <c r="Y15" t="s">
        <v>38</v>
      </c>
      <c r="Z15" t="str">
        <f t="shared" si="16"/>
        <v>GOOD COMMUNICATION</v>
      </c>
      <c r="AA15" t="str">
        <f t="shared" si="17"/>
        <v>good communication</v>
      </c>
      <c r="AB15" t="str">
        <f t="shared" si="18"/>
        <v>Good Communication</v>
      </c>
      <c r="AG15" s="6" t="s">
        <v>1174</v>
      </c>
      <c r="AH15" s="7">
        <f ca="1">NOW()</f>
        <v>46255.925311574072</v>
      </c>
    </row>
    <row r="16" spans="1:45">
      <c r="A16" t="s">
        <v>97</v>
      </c>
      <c r="B16" t="s">
        <v>98</v>
      </c>
      <c r="C16">
        <f t="shared" si="1"/>
        <v>13</v>
      </c>
      <c r="D16" t="s">
        <v>54</v>
      </c>
      <c r="E16" t="str">
        <f t="shared" si="0"/>
        <v>Anjali Chopra(E1015) - HR</v>
      </c>
      <c r="F16" t="str">
        <f t="shared" si="2"/>
        <v>HR</v>
      </c>
      <c r="G16">
        <f t="shared" si="3"/>
        <v>22</v>
      </c>
      <c r="H16" t="str">
        <f t="shared" si="4"/>
        <v xml:space="preserve">Anjali Chopra(E1015) </v>
      </c>
      <c r="I16" t="s">
        <v>80</v>
      </c>
      <c r="J16" t="str">
        <f t="shared" si="5"/>
        <v>Ahmed@bad</v>
      </c>
      <c r="K16" t="s">
        <v>99</v>
      </c>
      <c r="L16" t="str">
        <f t="shared" si="6"/>
        <v>Thursday</v>
      </c>
      <c r="M16" t="str">
        <f t="shared" si="7"/>
        <v>Thu</v>
      </c>
      <c r="N16" t="str">
        <f t="shared" si="8"/>
        <v>day</v>
      </c>
      <c r="O16">
        <f t="shared" si="9"/>
        <v>1</v>
      </c>
      <c r="P16">
        <f t="shared" si="10"/>
        <v>2021</v>
      </c>
      <c r="Q16" t="s">
        <v>100</v>
      </c>
      <c r="R16">
        <f t="shared" si="11"/>
        <v>10</v>
      </c>
      <c r="S16">
        <f t="shared" si="12"/>
        <v>56</v>
      </c>
      <c r="T16">
        <f t="shared" si="13"/>
        <v>46</v>
      </c>
      <c r="U16">
        <v>75067</v>
      </c>
      <c r="V16">
        <v>57261</v>
      </c>
      <c r="W16" t="str">
        <f t="shared" si="14"/>
        <v>High Target</v>
      </c>
      <c r="X16" t="str">
        <f t="shared" si="15"/>
        <v>Low Target</v>
      </c>
      <c r="Y16" t="s">
        <v>31</v>
      </c>
      <c r="Z16" t="str">
        <f t="shared" si="16"/>
        <v>CUSTOMER FOCUSED</v>
      </c>
      <c r="AA16" t="str">
        <f t="shared" si="17"/>
        <v>customer focused</v>
      </c>
      <c r="AB16" t="str">
        <f t="shared" si="18"/>
        <v>Customer Focused</v>
      </c>
      <c r="AG16" s="6" t="s">
        <v>1181</v>
      </c>
      <c r="AH16" s="9">
        <f ca="1">TODAY()</f>
        <v>46255</v>
      </c>
    </row>
    <row r="17" spans="1:38">
      <c r="A17" t="s">
        <v>101</v>
      </c>
      <c r="B17" t="s">
        <v>102</v>
      </c>
      <c r="C17">
        <f t="shared" si="1"/>
        <v>12</v>
      </c>
      <c r="D17" t="s">
        <v>12</v>
      </c>
      <c r="E17" t="str">
        <f t="shared" si="0"/>
        <v>Sneha Saxena(E1016) - Sales</v>
      </c>
      <c r="F17" t="str">
        <f t="shared" si="2"/>
        <v>Sales</v>
      </c>
      <c r="G17">
        <f t="shared" si="3"/>
        <v>21</v>
      </c>
      <c r="H17" t="str">
        <f t="shared" si="4"/>
        <v xml:space="preserve">Sneha Saxena(E1016) </v>
      </c>
      <c r="I17" t="s">
        <v>13</v>
      </c>
      <c r="J17" t="str">
        <f t="shared" si="5"/>
        <v>Chenn@i</v>
      </c>
      <c r="K17" t="s">
        <v>103</v>
      </c>
      <c r="L17" t="str">
        <f t="shared" si="6"/>
        <v>Thursday</v>
      </c>
      <c r="M17" t="str">
        <f t="shared" si="7"/>
        <v>Thu</v>
      </c>
      <c r="N17" t="str">
        <f t="shared" si="8"/>
        <v>day</v>
      </c>
      <c r="O17">
        <f t="shared" si="9"/>
        <v>8</v>
      </c>
      <c r="P17">
        <f t="shared" si="10"/>
        <v>2024</v>
      </c>
      <c r="Q17" t="s">
        <v>104</v>
      </c>
      <c r="R17">
        <f t="shared" si="11"/>
        <v>10</v>
      </c>
      <c r="S17">
        <f t="shared" si="12"/>
        <v>38</v>
      </c>
      <c r="T17">
        <f t="shared" si="13"/>
        <v>12</v>
      </c>
      <c r="U17">
        <v>59520</v>
      </c>
      <c r="V17">
        <v>50016</v>
      </c>
      <c r="W17" t="str">
        <f t="shared" si="14"/>
        <v>High Target</v>
      </c>
      <c r="X17" t="str">
        <f t="shared" si="15"/>
        <v>Low Target</v>
      </c>
      <c r="Y17" t="s">
        <v>31</v>
      </c>
      <c r="Z17" t="str">
        <f t="shared" si="16"/>
        <v>CUSTOMER FOCUSED</v>
      </c>
      <c r="AA17" t="str">
        <f t="shared" si="17"/>
        <v>customer focused</v>
      </c>
      <c r="AB17" t="str">
        <f t="shared" si="18"/>
        <v>Customer Focused</v>
      </c>
      <c r="AG17" s="6" t="s">
        <v>1175</v>
      </c>
      <c r="AH17" s="9">
        <f>DATE(AJ19,AH19,AL19)</f>
        <v>44267</v>
      </c>
    </row>
    <row r="18" spans="1:38">
      <c r="A18" t="s">
        <v>105</v>
      </c>
      <c r="B18" t="s">
        <v>106</v>
      </c>
      <c r="C18">
        <f t="shared" si="1"/>
        <v>11</v>
      </c>
      <c r="D18" t="s">
        <v>12</v>
      </c>
      <c r="E18" t="str">
        <f t="shared" si="0"/>
        <v>Sneha Goyal(E1017) - Sales</v>
      </c>
      <c r="F18" t="str">
        <f t="shared" si="2"/>
        <v>Sales</v>
      </c>
      <c r="G18">
        <f t="shared" si="3"/>
        <v>20</v>
      </c>
      <c r="H18" t="str">
        <f t="shared" si="4"/>
        <v xml:space="preserve">Sneha Goyal(E1017) </v>
      </c>
      <c r="I18" t="s">
        <v>35</v>
      </c>
      <c r="J18" t="str">
        <f t="shared" si="5"/>
        <v>Hyder@bad</v>
      </c>
      <c r="K18" t="s">
        <v>107</v>
      </c>
      <c r="L18" t="str">
        <f t="shared" si="6"/>
        <v>Thursday</v>
      </c>
      <c r="M18" t="str">
        <f t="shared" si="7"/>
        <v>Thu</v>
      </c>
      <c r="N18" t="str">
        <f t="shared" si="8"/>
        <v>day</v>
      </c>
      <c r="O18">
        <f t="shared" si="9"/>
        <v>9</v>
      </c>
      <c r="P18">
        <f t="shared" si="10"/>
        <v>2023</v>
      </c>
      <c r="Q18" t="s">
        <v>108</v>
      </c>
      <c r="R18">
        <f t="shared" si="11"/>
        <v>8</v>
      </c>
      <c r="S18">
        <f t="shared" si="12"/>
        <v>7</v>
      </c>
      <c r="T18">
        <f t="shared" si="13"/>
        <v>59</v>
      </c>
      <c r="U18">
        <v>68941</v>
      </c>
      <c r="V18">
        <v>63788</v>
      </c>
      <c r="W18" t="str">
        <f t="shared" si="14"/>
        <v>High Target</v>
      </c>
      <c r="X18" t="str">
        <f t="shared" si="15"/>
        <v>Medium Target</v>
      </c>
      <c r="Y18" t="s">
        <v>76</v>
      </c>
      <c r="Z18" t="str">
        <f t="shared" si="16"/>
        <v>ACCURATE REPORTS</v>
      </c>
      <c r="AA18" t="str">
        <f t="shared" si="17"/>
        <v>accurate reports</v>
      </c>
      <c r="AB18" t="str">
        <f t="shared" si="18"/>
        <v>Accurate Reports</v>
      </c>
      <c r="AG18" s="6" t="s">
        <v>1182</v>
      </c>
      <c r="AH18" s="10">
        <f>TIME(AL19,AG19,AI19)</f>
        <v>0.50872685185185185</v>
      </c>
    </row>
    <row r="19" spans="1:38">
      <c r="A19" t="s">
        <v>109</v>
      </c>
      <c r="B19" t="s">
        <v>110</v>
      </c>
      <c r="C19">
        <f t="shared" si="1"/>
        <v>10</v>
      </c>
      <c r="D19" t="s">
        <v>12</v>
      </c>
      <c r="E19" t="str">
        <f t="shared" si="0"/>
        <v>Priya Nair(E1018) - Sales</v>
      </c>
      <c r="F19" t="str">
        <f t="shared" si="2"/>
        <v>Sales</v>
      </c>
      <c r="G19">
        <f t="shared" si="3"/>
        <v>19</v>
      </c>
      <c r="H19" t="str">
        <f t="shared" si="4"/>
        <v xml:space="preserve">Priya Nair(E1018) </v>
      </c>
      <c r="I19" t="s">
        <v>20</v>
      </c>
      <c r="J19" t="str">
        <f t="shared" si="5"/>
        <v>Pune</v>
      </c>
      <c r="K19" t="s">
        <v>111</v>
      </c>
      <c r="L19" t="str">
        <f t="shared" si="6"/>
        <v>Saturday</v>
      </c>
      <c r="M19" t="str">
        <f t="shared" si="7"/>
        <v>Sat</v>
      </c>
      <c r="N19" t="str">
        <f t="shared" si="8"/>
        <v>day</v>
      </c>
      <c r="O19">
        <f t="shared" si="9"/>
        <v>9</v>
      </c>
      <c r="P19">
        <f t="shared" si="10"/>
        <v>2023</v>
      </c>
      <c r="Q19" t="s">
        <v>112</v>
      </c>
      <c r="R19">
        <f t="shared" si="11"/>
        <v>8</v>
      </c>
      <c r="S19">
        <f t="shared" si="12"/>
        <v>48</v>
      </c>
      <c r="T19">
        <f t="shared" si="13"/>
        <v>34</v>
      </c>
      <c r="U19">
        <v>83430</v>
      </c>
      <c r="V19">
        <v>90189</v>
      </c>
      <c r="W19" t="str">
        <f t="shared" si="14"/>
        <v>High Target</v>
      </c>
      <c r="X19" t="str">
        <f t="shared" si="15"/>
        <v>High Target</v>
      </c>
      <c r="Y19" t="s">
        <v>113</v>
      </c>
      <c r="Z19" t="str">
        <f t="shared" si="16"/>
        <v>QUICK RESPONSE</v>
      </c>
      <c r="AA19" t="str">
        <f t="shared" si="17"/>
        <v>quick response</v>
      </c>
      <c r="AB19" t="str">
        <f t="shared" si="18"/>
        <v>Quick Response</v>
      </c>
      <c r="AG19">
        <v>12</v>
      </c>
      <c r="AH19">
        <v>3</v>
      </c>
      <c r="AI19">
        <v>34</v>
      </c>
      <c r="AJ19">
        <v>2021</v>
      </c>
      <c r="AK19">
        <v>34</v>
      </c>
      <c r="AL19">
        <v>12</v>
      </c>
    </row>
    <row r="20" spans="1:38">
      <c r="A20" t="s">
        <v>114</v>
      </c>
      <c r="B20" t="s">
        <v>115</v>
      </c>
      <c r="C20">
        <f t="shared" si="1"/>
        <v>13</v>
      </c>
      <c r="D20" t="s">
        <v>54</v>
      </c>
      <c r="E20" t="str">
        <f t="shared" si="0"/>
        <v>Nidhi Agarwal(E1019) - HR</v>
      </c>
      <c r="F20" t="str">
        <f t="shared" si="2"/>
        <v>HR</v>
      </c>
      <c r="G20">
        <f t="shared" si="3"/>
        <v>22</v>
      </c>
      <c r="H20" t="str">
        <f t="shared" si="4"/>
        <v xml:space="preserve">Nidhi Agarwal(E1019) </v>
      </c>
      <c r="I20" t="s">
        <v>13</v>
      </c>
      <c r="J20" t="str">
        <f t="shared" si="5"/>
        <v>Chenn@i</v>
      </c>
      <c r="K20" t="s">
        <v>116</v>
      </c>
      <c r="L20" t="str">
        <f t="shared" si="6"/>
        <v>Sunday</v>
      </c>
      <c r="M20" t="str">
        <f t="shared" si="7"/>
        <v>Sun</v>
      </c>
      <c r="N20" t="str">
        <f t="shared" si="8"/>
        <v>day</v>
      </c>
      <c r="O20">
        <f t="shared" si="9"/>
        <v>12</v>
      </c>
      <c r="P20">
        <f t="shared" si="10"/>
        <v>2023</v>
      </c>
      <c r="Q20" t="s">
        <v>117</v>
      </c>
      <c r="R20">
        <f t="shared" si="11"/>
        <v>10</v>
      </c>
      <c r="S20">
        <f t="shared" si="12"/>
        <v>27</v>
      </c>
      <c r="T20">
        <f t="shared" si="13"/>
        <v>13</v>
      </c>
      <c r="U20">
        <v>73525</v>
      </c>
      <c r="V20">
        <v>75343</v>
      </c>
      <c r="W20" t="str">
        <f t="shared" si="14"/>
        <v>High Target</v>
      </c>
      <c r="X20" t="str">
        <f t="shared" si="15"/>
        <v>Medium Target</v>
      </c>
      <c r="Y20" t="s">
        <v>23</v>
      </c>
      <c r="Z20" t="str">
        <f t="shared" si="16"/>
        <v>FAST DELIVERY</v>
      </c>
      <c r="AA20" t="str">
        <f t="shared" si="17"/>
        <v>fast delivery</v>
      </c>
      <c r="AB20" t="str">
        <f t="shared" si="18"/>
        <v>Fast Delivery</v>
      </c>
    </row>
    <row r="21" spans="1:38">
      <c r="A21" t="s">
        <v>118</v>
      </c>
      <c r="B21" t="s">
        <v>119</v>
      </c>
      <c r="C21">
        <f t="shared" si="1"/>
        <v>13</v>
      </c>
      <c r="D21" t="s">
        <v>42</v>
      </c>
      <c r="E21" t="str">
        <f t="shared" si="0"/>
        <v>Anjali Bansal(E1020) - Finance</v>
      </c>
      <c r="F21" t="str">
        <f t="shared" si="2"/>
        <v>Finance</v>
      </c>
      <c r="G21">
        <f t="shared" si="3"/>
        <v>22</v>
      </c>
      <c r="H21" t="str">
        <f t="shared" si="4"/>
        <v xml:space="preserve">Anjali Bansal(E1020) </v>
      </c>
      <c r="I21" t="s">
        <v>80</v>
      </c>
      <c r="J21" t="str">
        <f t="shared" si="5"/>
        <v>Ahmed@bad</v>
      </c>
      <c r="K21" t="s">
        <v>120</v>
      </c>
      <c r="L21" t="str">
        <f t="shared" si="6"/>
        <v>Sunday</v>
      </c>
      <c r="M21" t="str">
        <f t="shared" si="7"/>
        <v>Sun</v>
      </c>
      <c r="N21" t="str">
        <f t="shared" si="8"/>
        <v>day</v>
      </c>
      <c r="O21">
        <f t="shared" si="9"/>
        <v>11</v>
      </c>
      <c r="P21">
        <f t="shared" si="10"/>
        <v>2023</v>
      </c>
      <c r="Q21" t="s">
        <v>121</v>
      </c>
      <c r="R21">
        <f t="shared" si="11"/>
        <v>9</v>
      </c>
      <c r="S21">
        <f t="shared" si="12"/>
        <v>7</v>
      </c>
      <c r="T21">
        <f t="shared" si="13"/>
        <v>15</v>
      </c>
      <c r="U21">
        <v>43921</v>
      </c>
      <c r="V21">
        <v>54725</v>
      </c>
      <c r="W21" t="str">
        <f t="shared" si="14"/>
        <v>High Target</v>
      </c>
      <c r="X21" t="str">
        <f t="shared" si="15"/>
        <v>Low Target</v>
      </c>
      <c r="Y21" t="s">
        <v>122</v>
      </c>
      <c r="Z21" t="str">
        <f t="shared" si="16"/>
        <v>CREATIVE IDEAS</v>
      </c>
      <c r="AA21" t="str">
        <f t="shared" si="17"/>
        <v>creative ideas</v>
      </c>
      <c r="AB21" t="str">
        <f t="shared" si="18"/>
        <v>Creative Ideas</v>
      </c>
    </row>
    <row r="22" spans="1:38">
      <c r="A22" t="s">
        <v>123</v>
      </c>
      <c r="B22" t="s">
        <v>124</v>
      </c>
      <c r="C22">
        <f t="shared" si="1"/>
        <v>11</v>
      </c>
      <c r="D22" t="s">
        <v>54</v>
      </c>
      <c r="E22" t="str">
        <f t="shared" si="0"/>
        <v>Amit Mishra(E1021) - HR</v>
      </c>
      <c r="F22" t="str">
        <f t="shared" si="2"/>
        <v>HR</v>
      </c>
      <c r="G22">
        <f t="shared" si="3"/>
        <v>20</v>
      </c>
      <c r="H22" t="str">
        <f t="shared" si="4"/>
        <v xml:space="preserve">Amit Mishra(E1021) </v>
      </c>
      <c r="I22" t="s">
        <v>28</v>
      </c>
      <c r="J22" t="str">
        <f t="shared" si="5"/>
        <v>B@ngalore</v>
      </c>
      <c r="K22" t="s">
        <v>125</v>
      </c>
      <c r="L22" t="str">
        <f t="shared" si="6"/>
        <v>Friday</v>
      </c>
      <c r="M22" t="str">
        <f t="shared" si="7"/>
        <v>Fri</v>
      </c>
      <c r="N22" t="str">
        <f t="shared" si="8"/>
        <v>day</v>
      </c>
      <c r="O22">
        <f t="shared" si="9"/>
        <v>1</v>
      </c>
      <c r="P22">
        <f t="shared" si="10"/>
        <v>2021</v>
      </c>
      <c r="Q22" t="s">
        <v>126</v>
      </c>
      <c r="R22">
        <f t="shared" si="11"/>
        <v>8</v>
      </c>
      <c r="S22">
        <f t="shared" si="12"/>
        <v>45</v>
      </c>
      <c r="T22">
        <f t="shared" si="13"/>
        <v>40</v>
      </c>
      <c r="U22">
        <v>43861</v>
      </c>
      <c r="V22">
        <v>43858</v>
      </c>
      <c r="W22" t="str">
        <f t="shared" si="14"/>
        <v>Low Target</v>
      </c>
      <c r="X22" t="str">
        <f t="shared" si="15"/>
        <v>Low Target</v>
      </c>
      <c r="Y22" t="s">
        <v>38</v>
      </c>
      <c r="Z22" t="str">
        <f t="shared" si="16"/>
        <v>GOOD COMMUNICATION</v>
      </c>
      <c r="AA22" t="str">
        <f t="shared" si="17"/>
        <v>good communication</v>
      </c>
      <c r="AB22" t="str">
        <f t="shared" si="18"/>
        <v>Good Communication</v>
      </c>
    </row>
    <row r="23" spans="1:38">
      <c r="A23" t="s">
        <v>127</v>
      </c>
      <c r="B23" t="s">
        <v>128</v>
      </c>
      <c r="C23">
        <f t="shared" si="1"/>
        <v>12</v>
      </c>
      <c r="D23" t="s">
        <v>42</v>
      </c>
      <c r="E23" t="str">
        <f t="shared" si="0"/>
        <v>Aditya Patel(E1022) - Finance</v>
      </c>
      <c r="F23" t="str">
        <f t="shared" si="2"/>
        <v>Finance</v>
      </c>
      <c r="G23">
        <f t="shared" si="3"/>
        <v>21</v>
      </c>
      <c r="H23" t="str">
        <f t="shared" si="4"/>
        <v xml:space="preserve">Aditya Patel(E1022) </v>
      </c>
      <c r="I23" t="s">
        <v>20</v>
      </c>
      <c r="J23" t="str">
        <f t="shared" si="5"/>
        <v>Pune</v>
      </c>
      <c r="K23" t="s">
        <v>129</v>
      </c>
      <c r="L23" t="str">
        <f t="shared" si="6"/>
        <v>Sunday</v>
      </c>
      <c r="M23" t="str">
        <f t="shared" si="7"/>
        <v>Sun</v>
      </c>
      <c r="N23" t="str">
        <f t="shared" si="8"/>
        <v>day</v>
      </c>
      <c r="O23">
        <f t="shared" si="9"/>
        <v>11</v>
      </c>
      <c r="P23">
        <f t="shared" si="10"/>
        <v>2023</v>
      </c>
      <c r="Q23" t="s">
        <v>130</v>
      </c>
      <c r="R23">
        <f t="shared" si="11"/>
        <v>8</v>
      </c>
      <c r="S23">
        <f t="shared" si="12"/>
        <v>17</v>
      </c>
      <c r="T23">
        <f t="shared" si="13"/>
        <v>42</v>
      </c>
      <c r="U23">
        <v>70852</v>
      </c>
      <c r="V23">
        <v>71812</v>
      </c>
      <c r="W23" t="str">
        <f t="shared" si="14"/>
        <v>High Target</v>
      </c>
      <c r="X23" t="str">
        <f t="shared" si="15"/>
        <v>Medium Target</v>
      </c>
      <c r="Y23" t="s">
        <v>45</v>
      </c>
      <c r="Z23" t="str">
        <f t="shared" si="16"/>
        <v>STRONG PRESENTATION</v>
      </c>
      <c r="AA23" t="str">
        <f t="shared" si="17"/>
        <v>strong presentation</v>
      </c>
      <c r="AB23" t="str">
        <f t="shared" si="18"/>
        <v>Strong Presentation</v>
      </c>
    </row>
    <row r="24" spans="1:38">
      <c r="A24" t="s">
        <v>131</v>
      </c>
      <c r="B24" t="s">
        <v>132</v>
      </c>
      <c r="C24">
        <f t="shared" si="1"/>
        <v>12</v>
      </c>
      <c r="D24" t="s">
        <v>27</v>
      </c>
      <c r="E24" t="str">
        <f t="shared" si="0"/>
        <v>Arjun Mishra(E1023) - Marketing</v>
      </c>
      <c r="F24" t="str">
        <f t="shared" si="2"/>
        <v>Marketing</v>
      </c>
      <c r="G24">
        <f t="shared" si="3"/>
        <v>21</v>
      </c>
      <c r="H24" t="str">
        <f t="shared" si="4"/>
        <v xml:space="preserve">Arjun Mishra(E1023) </v>
      </c>
      <c r="I24" t="s">
        <v>28</v>
      </c>
      <c r="J24" t="str">
        <f t="shared" si="5"/>
        <v>B@ngalore</v>
      </c>
      <c r="K24" t="s">
        <v>133</v>
      </c>
      <c r="L24" t="str">
        <f t="shared" si="6"/>
        <v>Sunday</v>
      </c>
      <c r="M24" t="str">
        <f t="shared" si="7"/>
        <v>Sun</v>
      </c>
      <c r="N24" t="str">
        <f t="shared" si="8"/>
        <v>day</v>
      </c>
      <c r="O24">
        <f t="shared" si="9"/>
        <v>8</v>
      </c>
      <c r="P24">
        <f t="shared" si="10"/>
        <v>2023</v>
      </c>
      <c r="Q24" t="s">
        <v>134</v>
      </c>
      <c r="R24">
        <f t="shared" si="11"/>
        <v>9</v>
      </c>
      <c r="S24">
        <f t="shared" si="12"/>
        <v>12</v>
      </c>
      <c r="T24">
        <f t="shared" si="13"/>
        <v>6</v>
      </c>
      <c r="U24">
        <v>59601</v>
      </c>
      <c r="V24">
        <v>46352</v>
      </c>
      <c r="W24" t="str">
        <f t="shared" si="14"/>
        <v>Low Target</v>
      </c>
      <c r="X24" t="str">
        <f t="shared" si="15"/>
        <v>Low Target</v>
      </c>
      <c r="Y24" t="s">
        <v>122</v>
      </c>
      <c r="Z24" t="str">
        <f t="shared" si="16"/>
        <v>CREATIVE IDEAS</v>
      </c>
      <c r="AA24" t="str">
        <f t="shared" si="17"/>
        <v>creative ideas</v>
      </c>
      <c r="AB24" t="str">
        <f t="shared" si="18"/>
        <v>Creative Ideas</v>
      </c>
    </row>
    <row r="25" spans="1:38">
      <c r="A25" t="s">
        <v>135</v>
      </c>
      <c r="B25" t="s">
        <v>136</v>
      </c>
      <c r="C25">
        <f t="shared" si="1"/>
        <v>12</v>
      </c>
      <c r="D25" t="s">
        <v>27</v>
      </c>
      <c r="E25" t="str">
        <f t="shared" si="0"/>
        <v>Nisha Chopra(E1024) - Marketing</v>
      </c>
      <c r="F25" t="str">
        <f t="shared" si="2"/>
        <v>Marketing</v>
      </c>
      <c r="G25">
        <f t="shared" si="3"/>
        <v>21</v>
      </c>
      <c r="H25" t="str">
        <f t="shared" si="4"/>
        <v xml:space="preserve">Nisha Chopra(E1024) </v>
      </c>
      <c r="I25" t="s">
        <v>73</v>
      </c>
      <c r="J25" t="str">
        <f t="shared" si="5"/>
        <v>Mumb@i</v>
      </c>
      <c r="K25" t="s">
        <v>137</v>
      </c>
      <c r="L25" t="str">
        <f t="shared" si="6"/>
        <v>Friday</v>
      </c>
      <c r="M25" t="str">
        <f t="shared" si="7"/>
        <v>Fri</v>
      </c>
      <c r="N25" t="str">
        <f t="shared" si="8"/>
        <v>day</v>
      </c>
      <c r="O25">
        <f t="shared" si="9"/>
        <v>10</v>
      </c>
      <c r="P25">
        <f t="shared" si="10"/>
        <v>2024</v>
      </c>
      <c r="Q25" t="s">
        <v>138</v>
      </c>
      <c r="R25">
        <f t="shared" si="11"/>
        <v>10</v>
      </c>
      <c r="S25">
        <f t="shared" si="12"/>
        <v>41</v>
      </c>
      <c r="T25">
        <f t="shared" si="13"/>
        <v>6</v>
      </c>
      <c r="U25">
        <v>55358</v>
      </c>
      <c r="V25">
        <v>43972</v>
      </c>
      <c r="W25" t="str">
        <f t="shared" si="14"/>
        <v>Low Target</v>
      </c>
      <c r="X25" t="str">
        <f t="shared" si="15"/>
        <v>Low Target</v>
      </c>
      <c r="Y25" t="s">
        <v>23</v>
      </c>
      <c r="Z25" t="str">
        <f t="shared" si="16"/>
        <v>FAST DELIVERY</v>
      </c>
      <c r="AA25" t="str">
        <f t="shared" si="17"/>
        <v>fast delivery</v>
      </c>
      <c r="AB25" t="str">
        <f t="shared" si="18"/>
        <v>Fast Delivery</v>
      </c>
    </row>
    <row r="26" spans="1:38">
      <c r="A26" t="s">
        <v>139</v>
      </c>
      <c r="B26" t="s">
        <v>140</v>
      </c>
      <c r="C26">
        <f t="shared" si="1"/>
        <v>11</v>
      </c>
      <c r="D26" t="s">
        <v>54</v>
      </c>
      <c r="E26" t="str">
        <f t="shared" si="0"/>
        <v>Rohan Singh(E1025) - HR</v>
      </c>
      <c r="F26" t="str">
        <f t="shared" si="2"/>
        <v>HR</v>
      </c>
      <c r="G26">
        <f t="shared" si="3"/>
        <v>20</v>
      </c>
      <c r="H26" t="str">
        <f t="shared" si="4"/>
        <v xml:space="preserve">Rohan Singh(E1025) </v>
      </c>
      <c r="I26" t="s">
        <v>28</v>
      </c>
      <c r="J26" t="str">
        <f t="shared" si="5"/>
        <v>B@ngalore</v>
      </c>
      <c r="K26" t="s">
        <v>141</v>
      </c>
      <c r="L26" t="str">
        <f t="shared" si="6"/>
        <v>Tuesday</v>
      </c>
      <c r="M26" t="str">
        <f t="shared" si="7"/>
        <v>Tue</v>
      </c>
      <c r="N26" t="str">
        <f t="shared" si="8"/>
        <v>day</v>
      </c>
      <c r="O26">
        <f t="shared" si="9"/>
        <v>1</v>
      </c>
      <c r="P26">
        <f t="shared" si="10"/>
        <v>2022</v>
      </c>
      <c r="Q26" t="s">
        <v>142</v>
      </c>
      <c r="R26">
        <f t="shared" si="11"/>
        <v>10</v>
      </c>
      <c r="S26">
        <f t="shared" si="12"/>
        <v>28</v>
      </c>
      <c r="T26">
        <f t="shared" si="13"/>
        <v>8</v>
      </c>
      <c r="U26">
        <v>64673</v>
      </c>
      <c r="V26">
        <v>67648</v>
      </c>
      <c r="W26" t="str">
        <f t="shared" si="14"/>
        <v>High Target</v>
      </c>
      <c r="X26" t="str">
        <f t="shared" si="15"/>
        <v>Medium Target</v>
      </c>
      <c r="Y26" t="s">
        <v>143</v>
      </c>
      <c r="Z26" t="str">
        <f t="shared" si="16"/>
        <v>NEEDS IMPROVEMENT</v>
      </c>
      <c r="AA26" t="str">
        <f t="shared" si="17"/>
        <v>needs improvement</v>
      </c>
      <c r="AB26" t="str">
        <f t="shared" si="18"/>
        <v>Needs Improvement</v>
      </c>
    </row>
    <row r="27" spans="1:38">
      <c r="A27" t="s">
        <v>144</v>
      </c>
      <c r="B27" t="s">
        <v>145</v>
      </c>
      <c r="C27">
        <f t="shared" si="1"/>
        <v>11</v>
      </c>
      <c r="D27" t="s">
        <v>12</v>
      </c>
      <c r="E27" t="str">
        <f t="shared" si="0"/>
        <v>Deepak Nair(E1026) - Sales</v>
      </c>
      <c r="F27" t="str">
        <f t="shared" si="2"/>
        <v>Sales</v>
      </c>
      <c r="G27">
        <f t="shared" si="3"/>
        <v>20</v>
      </c>
      <c r="H27" t="str">
        <f t="shared" si="4"/>
        <v xml:space="preserve">Deepak Nair(E1026) </v>
      </c>
      <c r="I27" t="s">
        <v>80</v>
      </c>
      <c r="J27" t="str">
        <f t="shared" si="5"/>
        <v>Ahmed@bad</v>
      </c>
      <c r="K27" t="s">
        <v>146</v>
      </c>
      <c r="L27" t="str">
        <f t="shared" si="6"/>
        <v>Friday</v>
      </c>
      <c r="M27" t="str">
        <f t="shared" si="7"/>
        <v>Fri</v>
      </c>
      <c r="N27" t="str">
        <f t="shared" si="8"/>
        <v>day</v>
      </c>
      <c r="O27">
        <f t="shared" si="9"/>
        <v>2</v>
      </c>
      <c r="P27">
        <f t="shared" si="10"/>
        <v>2024</v>
      </c>
      <c r="Q27" t="s">
        <v>147</v>
      </c>
      <c r="R27">
        <f t="shared" si="11"/>
        <v>8</v>
      </c>
      <c r="S27">
        <f t="shared" si="12"/>
        <v>3</v>
      </c>
      <c r="T27">
        <f t="shared" si="13"/>
        <v>41</v>
      </c>
      <c r="U27">
        <v>61394</v>
      </c>
      <c r="V27">
        <v>75427</v>
      </c>
      <c r="W27" t="str">
        <f t="shared" si="14"/>
        <v>High Target</v>
      </c>
      <c r="X27" t="str">
        <f t="shared" si="15"/>
        <v>Medium Target</v>
      </c>
      <c r="Y27" t="s">
        <v>38</v>
      </c>
      <c r="Z27" t="str">
        <f t="shared" si="16"/>
        <v>GOOD COMMUNICATION</v>
      </c>
      <c r="AA27" t="str">
        <f t="shared" si="17"/>
        <v>good communication</v>
      </c>
      <c r="AB27" t="str">
        <f t="shared" si="18"/>
        <v>Good Communication</v>
      </c>
    </row>
    <row r="28" spans="1:38">
      <c r="A28" t="s">
        <v>148</v>
      </c>
      <c r="B28" t="s">
        <v>149</v>
      </c>
      <c r="C28">
        <f t="shared" si="1"/>
        <v>12</v>
      </c>
      <c r="D28" t="s">
        <v>54</v>
      </c>
      <c r="E28" t="str">
        <f t="shared" si="0"/>
        <v>Madhuri Nair(E1027) - HR</v>
      </c>
      <c r="F28" t="str">
        <f t="shared" si="2"/>
        <v>HR</v>
      </c>
      <c r="G28">
        <f t="shared" si="3"/>
        <v>21</v>
      </c>
      <c r="H28" t="str">
        <f t="shared" si="4"/>
        <v xml:space="preserve">Madhuri Nair(E1027) </v>
      </c>
      <c r="I28" t="s">
        <v>90</v>
      </c>
      <c r="J28" t="str">
        <f t="shared" si="5"/>
        <v>Kolk@ta</v>
      </c>
      <c r="K28" t="s">
        <v>150</v>
      </c>
      <c r="L28" t="str">
        <f t="shared" si="6"/>
        <v>Friday</v>
      </c>
      <c r="M28" t="str">
        <f t="shared" si="7"/>
        <v>Fri</v>
      </c>
      <c r="N28" t="str">
        <f t="shared" si="8"/>
        <v>day</v>
      </c>
      <c r="O28">
        <f t="shared" si="9"/>
        <v>9</v>
      </c>
      <c r="P28">
        <f t="shared" si="10"/>
        <v>2023</v>
      </c>
      <c r="Q28" t="s">
        <v>151</v>
      </c>
      <c r="R28">
        <f t="shared" si="11"/>
        <v>9</v>
      </c>
      <c r="S28">
        <f t="shared" si="12"/>
        <v>13</v>
      </c>
      <c r="T28">
        <f t="shared" si="13"/>
        <v>55</v>
      </c>
      <c r="U28">
        <v>55124</v>
      </c>
      <c r="V28">
        <v>66282</v>
      </c>
      <c r="W28" t="str">
        <f t="shared" si="14"/>
        <v>High Target</v>
      </c>
      <c r="X28" t="str">
        <f t="shared" si="15"/>
        <v>Medium Target</v>
      </c>
      <c r="Y28" t="s">
        <v>113</v>
      </c>
      <c r="Z28" t="str">
        <f t="shared" si="16"/>
        <v>QUICK RESPONSE</v>
      </c>
      <c r="AA28" t="str">
        <f t="shared" si="17"/>
        <v>quick response</v>
      </c>
      <c r="AB28" t="str">
        <f t="shared" si="18"/>
        <v>Quick Response</v>
      </c>
    </row>
    <row r="29" spans="1:38">
      <c r="A29" t="s">
        <v>152</v>
      </c>
      <c r="B29" t="s">
        <v>153</v>
      </c>
      <c r="C29">
        <f t="shared" si="1"/>
        <v>13</v>
      </c>
      <c r="D29" t="s">
        <v>27</v>
      </c>
      <c r="E29" t="str">
        <f t="shared" si="0"/>
        <v>Suresh Sharma(E1028) - Marketing</v>
      </c>
      <c r="F29" t="str">
        <f t="shared" si="2"/>
        <v>Marketing</v>
      </c>
      <c r="G29">
        <f t="shared" si="3"/>
        <v>22</v>
      </c>
      <c r="H29" t="str">
        <f t="shared" si="4"/>
        <v xml:space="preserve">Suresh Sharma(E1028) </v>
      </c>
      <c r="I29" t="s">
        <v>13</v>
      </c>
      <c r="J29" t="str">
        <f t="shared" si="5"/>
        <v>Chenn@i</v>
      </c>
      <c r="K29" t="s">
        <v>154</v>
      </c>
      <c r="L29" t="str">
        <f t="shared" si="6"/>
        <v>Friday</v>
      </c>
      <c r="M29" t="str">
        <f t="shared" si="7"/>
        <v>Fri</v>
      </c>
      <c r="N29" t="str">
        <f t="shared" si="8"/>
        <v>day</v>
      </c>
      <c r="O29">
        <f t="shared" si="9"/>
        <v>7</v>
      </c>
      <c r="P29">
        <f t="shared" si="10"/>
        <v>2023</v>
      </c>
      <c r="Q29" t="s">
        <v>155</v>
      </c>
      <c r="R29">
        <f t="shared" si="11"/>
        <v>9</v>
      </c>
      <c r="S29">
        <f t="shared" si="12"/>
        <v>27</v>
      </c>
      <c r="T29">
        <f t="shared" si="13"/>
        <v>44</v>
      </c>
      <c r="U29">
        <v>104768</v>
      </c>
      <c r="V29">
        <v>87874</v>
      </c>
      <c r="W29" t="str">
        <f t="shared" si="14"/>
        <v>High Target</v>
      </c>
      <c r="X29" t="str">
        <f t="shared" si="15"/>
        <v>High Target</v>
      </c>
      <c r="Y29" t="s">
        <v>113</v>
      </c>
      <c r="Z29" t="str">
        <f t="shared" si="16"/>
        <v>QUICK RESPONSE</v>
      </c>
      <c r="AA29" t="str">
        <f t="shared" si="17"/>
        <v>quick response</v>
      </c>
      <c r="AB29" t="str">
        <f t="shared" si="18"/>
        <v>Quick Response</v>
      </c>
    </row>
    <row r="30" spans="1:38">
      <c r="A30" t="s">
        <v>156</v>
      </c>
      <c r="B30" t="s">
        <v>157</v>
      </c>
      <c r="C30">
        <f t="shared" si="1"/>
        <v>11</v>
      </c>
      <c r="D30" t="s">
        <v>54</v>
      </c>
      <c r="E30" t="str">
        <f t="shared" si="0"/>
        <v>Karan Gupta(E1029) - HR</v>
      </c>
      <c r="F30" t="str">
        <f t="shared" si="2"/>
        <v>HR</v>
      </c>
      <c r="G30">
        <f t="shared" si="3"/>
        <v>20</v>
      </c>
      <c r="H30" t="str">
        <f t="shared" si="4"/>
        <v xml:space="preserve">Karan Gupta(E1029) </v>
      </c>
      <c r="I30" t="s">
        <v>73</v>
      </c>
      <c r="J30" t="str">
        <f t="shared" si="5"/>
        <v>Mumb@i</v>
      </c>
      <c r="K30" t="s">
        <v>158</v>
      </c>
      <c r="L30" t="str">
        <f t="shared" si="6"/>
        <v>Monday</v>
      </c>
      <c r="M30" t="str">
        <f t="shared" si="7"/>
        <v>Mon</v>
      </c>
      <c r="N30" t="str">
        <f t="shared" si="8"/>
        <v>day</v>
      </c>
      <c r="O30">
        <f t="shared" si="9"/>
        <v>4</v>
      </c>
      <c r="P30">
        <f t="shared" si="10"/>
        <v>2024</v>
      </c>
      <c r="Q30" t="s">
        <v>159</v>
      </c>
      <c r="R30">
        <f t="shared" si="11"/>
        <v>10</v>
      </c>
      <c r="S30">
        <f t="shared" si="12"/>
        <v>34</v>
      </c>
      <c r="T30">
        <f t="shared" si="13"/>
        <v>3</v>
      </c>
      <c r="U30">
        <v>94571</v>
      </c>
      <c r="V30">
        <v>89019</v>
      </c>
      <c r="W30" t="str">
        <f t="shared" si="14"/>
        <v>High Target</v>
      </c>
      <c r="X30" t="str">
        <f t="shared" si="15"/>
        <v>High Target</v>
      </c>
      <c r="Y30" t="s">
        <v>160</v>
      </c>
      <c r="Z30" t="str">
        <f t="shared" si="16"/>
        <v>EXCELLENT SERVICE</v>
      </c>
      <c r="AA30" t="str">
        <f t="shared" si="17"/>
        <v>excellent service</v>
      </c>
      <c r="AB30" t="str">
        <f t="shared" si="18"/>
        <v>Excellent Service</v>
      </c>
    </row>
    <row r="31" spans="1:38">
      <c r="A31" t="s">
        <v>161</v>
      </c>
      <c r="B31" t="s">
        <v>162</v>
      </c>
      <c r="C31">
        <f t="shared" si="1"/>
        <v>12</v>
      </c>
      <c r="D31" t="s">
        <v>27</v>
      </c>
      <c r="E31" t="str">
        <f t="shared" si="0"/>
        <v>Priya Mishra(E1030) - Marketing</v>
      </c>
      <c r="F31" t="str">
        <f t="shared" si="2"/>
        <v>Marketing</v>
      </c>
      <c r="G31">
        <f t="shared" si="3"/>
        <v>21</v>
      </c>
      <c r="H31" t="str">
        <f t="shared" si="4"/>
        <v xml:space="preserve">Priya Mishra(E1030) </v>
      </c>
      <c r="I31" t="s">
        <v>66</v>
      </c>
      <c r="J31" t="str">
        <f t="shared" si="5"/>
        <v>Delhi</v>
      </c>
      <c r="K31" t="s">
        <v>163</v>
      </c>
      <c r="L31" t="str">
        <f t="shared" si="6"/>
        <v>Tuesday</v>
      </c>
      <c r="M31" t="str">
        <f t="shared" si="7"/>
        <v>Tue</v>
      </c>
      <c r="N31" t="str">
        <f t="shared" si="8"/>
        <v>day</v>
      </c>
      <c r="O31">
        <f t="shared" si="9"/>
        <v>4</v>
      </c>
      <c r="P31">
        <f t="shared" si="10"/>
        <v>2021</v>
      </c>
      <c r="Q31" t="s">
        <v>164</v>
      </c>
      <c r="R31">
        <f t="shared" si="11"/>
        <v>10</v>
      </c>
      <c r="S31">
        <f t="shared" si="12"/>
        <v>5</v>
      </c>
      <c r="T31">
        <f t="shared" si="13"/>
        <v>54</v>
      </c>
      <c r="U31">
        <v>41668</v>
      </c>
      <c r="V31">
        <v>52178</v>
      </c>
      <c r="W31" t="str">
        <f t="shared" si="14"/>
        <v>High Target</v>
      </c>
      <c r="X31" t="str">
        <f t="shared" si="15"/>
        <v>Low Target</v>
      </c>
      <c r="Y31" t="s">
        <v>16</v>
      </c>
      <c r="Z31" t="str">
        <f t="shared" si="16"/>
        <v>EXCELLENT LEADERSHIP</v>
      </c>
      <c r="AA31" t="str">
        <f t="shared" si="17"/>
        <v>excellent leadership</v>
      </c>
      <c r="AB31" t="str">
        <f t="shared" si="18"/>
        <v>Excellent Leadership</v>
      </c>
    </row>
    <row r="32" spans="1:38">
      <c r="A32" t="s">
        <v>165</v>
      </c>
      <c r="B32" t="s">
        <v>166</v>
      </c>
      <c r="C32">
        <f t="shared" si="1"/>
        <v>10</v>
      </c>
      <c r="D32" t="s">
        <v>27</v>
      </c>
      <c r="E32" t="str">
        <f t="shared" si="0"/>
        <v>Rahul Nair(E1031) - Marketing</v>
      </c>
      <c r="F32" t="str">
        <f t="shared" si="2"/>
        <v>Marketing</v>
      </c>
      <c r="G32">
        <f t="shared" si="3"/>
        <v>19</v>
      </c>
      <c r="H32" t="str">
        <f t="shared" si="4"/>
        <v xml:space="preserve">Rahul Nair(E1031) </v>
      </c>
      <c r="I32" t="s">
        <v>20</v>
      </c>
      <c r="J32" t="str">
        <f t="shared" si="5"/>
        <v>Pune</v>
      </c>
      <c r="K32" t="s">
        <v>167</v>
      </c>
      <c r="L32" t="str">
        <f t="shared" si="6"/>
        <v>Tuesday</v>
      </c>
      <c r="M32" t="str">
        <f t="shared" si="7"/>
        <v>Tue</v>
      </c>
      <c r="N32" t="str">
        <f t="shared" si="8"/>
        <v>day</v>
      </c>
      <c r="O32">
        <f t="shared" si="9"/>
        <v>3</v>
      </c>
      <c r="P32">
        <f t="shared" si="10"/>
        <v>2024</v>
      </c>
      <c r="Q32" t="s">
        <v>168</v>
      </c>
      <c r="R32">
        <f t="shared" si="11"/>
        <v>8</v>
      </c>
      <c r="S32">
        <f t="shared" si="12"/>
        <v>37</v>
      </c>
      <c r="T32">
        <f t="shared" si="13"/>
        <v>38</v>
      </c>
      <c r="U32">
        <v>32976</v>
      </c>
      <c r="V32">
        <v>42604</v>
      </c>
      <c r="W32" t="str">
        <f t="shared" si="14"/>
        <v>Low Target</v>
      </c>
      <c r="X32" t="str">
        <f t="shared" si="15"/>
        <v>Low Target</v>
      </c>
      <c r="Y32" t="s">
        <v>169</v>
      </c>
      <c r="Z32" t="str">
        <f t="shared" si="16"/>
        <v>DETAILED ANALYSIS</v>
      </c>
      <c r="AA32" t="str">
        <f t="shared" si="17"/>
        <v>detailed analysis</v>
      </c>
      <c r="AB32" t="str">
        <f t="shared" si="18"/>
        <v>Detailed Analysis</v>
      </c>
    </row>
    <row r="33" spans="1:28">
      <c r="A33" t="s">
        <v>170</v>
      </c>
      <c r="B33" t="s">
        <v>171</v>
      </c>
      <c r="C33">
        <f t="shared" si="1"/>
        <v>12</v>
      </c>
      <c r="D33" t="s">
        <v>42</v>
      </c>
      <c r="E33" t="str">
        <f t="shared" si="0"/>
        <v>Nidhi Mishra(E1032) - Finance</v>
      </c>
      <c r="F33" t="str">
        <f t="shared" si="2"/>
        <v>Finance</v>
      </c>
      <c r="G33">
        <f t="shared" si="3"/>
        <v>21</v>
      </c>
      <c r="H33" t="str">
        <f t="shared" si="4"/>
        <v xml:space="preserve">Nidhi Mishra(E1032) </v>
      </c>
      <c r="I33" t="s">
        <v>13</v>
      </c>
      <c r="J33" t="str">
        <f t="shared" si="5"/>
        <v>Chenn@i</v>
      </c>
      <c r="K33" t="s">
        <v>172</v>
      </c>
      <c r="L33" t="str">
        <f t="shared" si="6"/>
        <v>Wednesday</v>
      </c>
      <c r="M33" t="str">
        <f t="shared" si="7"/>
        <v>Wed</v>
      </c>
      <c r="N33" t="str">
        <f t="shared" si="8"/>
        <v>day</v>
      </c>
      <c r="O33">
        <f t="shared" si="9"/>
        <v>2</v>
      </c>
      <c r="P33">
        <f t="shared" si="10"/>
        <v>2022</v>
      </c>
      <c r="Q33" t="s">
        <v>173</v>
      </c>
      <c r="R33">
        <f t="shared" si="11"/>
        <v>10</v>
      </c>
      <c r="S33">
        <f t="shared" si="12"/>
        <v>45</v>
      </c>
      <c r="T33">
        <f t="shared" si="13"/>
        <v>20</v>
      </c>
      <c r="U33">
        <v>58049</v>
      </c>
      <c r="V33">
        <v>55642</v>
      </c>
      <c r="W33" t="str">
        <f t="shared" si="14"/>
        <v>High Target</v>
      </c>
      <c r="X33" t="str">
        <f t="shared" si="15"/>
        <v>Low Target</v>
      </c>
      <c r="Y33" t="s">
        <v>169</v>
      </c>
      <c r="Z33" t="str">
        <f t="shared" si="16"/>
        <v>DETAILED ANALYSIS</v>
      </c>
      <c r="AA33" t="str">
        <f t="shared" si="17"/>
        <v>detailed analysis</v>
      </c>
      <c r="AB33" t="str">
        <f t="shared" si="18"/>
        <v>Detailed Analysis</v>
      </c>
    </row>
    <row r="34" spans="1:28">
      <c r="A34" t="s">
        <v>174</v>
      </c>
      <c r="B34" t="s">
        <v>175</v>
      </c>
      <c r="C34">
        <f t="shared" si="1"/>
        <v>11</v>
      </c>
      <c r="D34" t="s">
        <v>27</v>
      </c>
      <c r="E34" t="str">
        <f t="shared" si="0"/>
        <v>Arjun Gupta(E1033) - Marketing</v>
      </c>
      <c r="F34" t="str">
        <f t="shared" si="2"/>
        <v>Marketing</v>
      </c>
      <c r="G34">
        <f t="shared" si="3"/>
        <v>20</v>
      </c>
      <c r="H34" t="str">
        <f t="shared" si="4"/>
        <v xml:space="preserve">Arjun Gupta(E1033) </v>
      </c>
      <c r="I34" t="s">
        <v>35</v>
      </c>
      <c r="J34" t="str">
        <f t="shared" si="5"/>
        <v>Hyder@bad</v>
      </c>
      <c r="K34" t="s">
        <v>176</v>
      </c>
      <c r="L34" t="str">
        <f t="shared" si="6"/>
        <v>Saturday</v>
      </c>
      <c r="M34" t="str">
        <f t="shared" si="7"/>
        <v>Sat</v>
      </c>
      <c r="N34" t="str">
        <f t="shared" si="8"/>
        <v>day</v>
      </c>
      <c r="O34">
        <f t="shared" si="9"/>
        <v>5</v>
      </c>
      <c r="P34">
        <f t="shared" si="10"/>
        <v>2021</v>
      </c>
      <c r="Q34" t="s">
        <v>177</v>
      </c>
      <c r="R34">
        <f t="shared" si="11"/>
        <v>8</v>
      </c>
      <c r="S34">
        <f t="shared" si="12"/>
        <v>29</v>
      </c>
      <c r="T34">
        <f t="shared" si="13"/>
        <v>39</v>
      </c>
      <c r="U34">
        <v>68448</v>
      </c>
      <c r="V34">
        <v>76896</v>
      </c>
      <c r="W34" t="str">
        <f t="shared" si="14"/>
        <v>High Target</v>
      </c>
      <c r="X34" t="str">
        <f t="shared" si="15"/>
        <v>Medium Target</v>
      </c>
      <c r="Y34" t="s">
        <v>38</v>
      </c>
      <c r="Z34" t="str">
        <f t="shared" si="16"/>
        <v>GOOD COMMUNICATION</v>
      </c>
      <c r="AA34" t="str">
        <f t="shared" si="17"/>
        <v>good communication</v>
      </c>
      <c r="AB34" t="str">
        <f t="shared" si="18"/>
        <v>Good Communication</v>
      </c>
    </row>
    <row r="35" spans="1:28">
      <c r="A35" t="s">
        <v>178</v>
      </c>
      <c r="B35" t="s">
        <v>179</v>
      </c>
      <c r="C35">
        <f t="shared" si="1"/>
        <v>12</v>
      </c>
      <c r="D35" t="s">
        <v>42</v>
      </c>
      <c r="E35" t="str">
        <f t="shared" si="0"/>
        <v>Ritika Mehta(E1034) - Finance</v>
      </c>
      <c r="F35" t="str">
        <f t="shared" si="2"/>
        <v>Finance</v>
      </c>
      <c r="G35">
        <f t="shared" si="3"/>
        <v>21</v>
      </c>
      <c r="H35" t="str">
        <f t="shared" si="4"/>
        <v xml:space="preserve">Ritika Mehta(E1034) </v>
      </c>
      <c r="I35" t="s">
        <v>66</v>
      </c>
      <c r="J35" t="str">
        <f t="shared" si="5"/>
        <v>Delhi</v>
      </c>
      <c r="K35" t="s">
        <v>180</v>
      </c>
      <c r="L35" t="str">
        <f t="shared" si="6"/>
        <v>Friday</v>
      </c>
      <c r="M35" t="str">
        <f t="shared" si="7"/>
        <v>Fri</v>
      </c>
      <c r="N35" t="str">
        <f t="shared" si="8"/>
        <v>day</v>
      </c>
      <c r="O35">
        <f t="shared" si="9"/>
        <v>12</v>
      </c>
      <c r="P35">
        <f t="shared" si="10"/>
        <v>2022</v>
      </c>
      <c r="Q35" t="s">
        <v>181</v>
      </c>
      <c r="R35">
        <f t="shared" si="11"/>
        <v>8</v>
      </c>
      <c r="S35">
        <f t="shared" si="12"/>
        <v>56</v>
      </c>
      <c r="T35">
        <f t="shared" si="13"/>
        <v>15</v>
      </c>
      <c r="U35">
        <v>67893</v>
      </c>
      <c r="V35">
        <v>64217</v>
      </c>
      <c r="W35" t="str">
        <f t="shared" si="14"/>
        <v>High Target</v>
      </c>
      <c r="X35" t="str">
        <f t="shared" si="15"/>
        <v>Medium Target</v>
      </c>
      <c r="Y35" t="s">
        <v>113</v>
      </c>
      <c r="Z35" t="str">
        <f t="shared" si="16"/>
        <v>QUICK RESPONSE</v>
      </c>
      <c r="AA35" t="str">
        <f t="shared" si="17"/>
        <v>quick response</v>
      </c>
      <c r="AB35" t="str">
        <f t="shared" si="18"/>
        <v>Quick Response</v>
      </c>
    </row>
    <row r="36" spans="1:28">
      <c r="A36" t="s">
        <v>182</v>
      </c>
      <c r="B36" t="s">
        <v>183</v>
      </c>
      <c r="C36">
        <f t="shared" si="1"/>
        <v>12</v>
      </c>
      <c r="D36" t="s">
        <v>42</v>
      </c>
      <c r="E36" t="str">
        <f t="shared" si="0"/>
        <v>Deepak Goyal(E1035) - Finance</v>
      </c>
      <c r="F36" t="str">
        <f t="shared" si="2"/>
        <v>Finance</v>
      </c>
      <c r="G36">
        <f t="shared" si="3"/>
        <v>21</v>
      </c>
      <c r="H36" t="str">
        <f t="shared" si="4"/>
        <v xml:space="preserve">Deepak Goyal(E1035) </v>
      </c>
      <c r="I36" t="s">
        <v>73</v>
      </c>
      <c r="J36" t="str">
        <f t="shared" si="5"/>
        <v>Mumb@i</v>
      </c>
      <c r="K36" t="s">
        <v>184</v>
      </c>
      <c r="L36" t="str">
        <f t="shared" si="6"/>
        <v>Sunday</v>
      </c>
      <c r="M36" t="str">
        <f t="shared" si="7"/>
        <v>Sun</v>
      </c>
      <c r="N36" t="str">
        <f t="shared" si="8"/>
        <v>day</v>
      </c>
      <c r="O36">
        <f t="shared" si="9"/>
        <v>9</v>
      </c>
      <c r="P36">
        <f t="shared" si="10"/>
        <v>2024</v>
      </c>
      <c r="Q36" t="s">
        <v>185</v>
      </c>
      <c r="R36">
        <f t="shared" si="11"/>
        <v>10</v>
      </c>
      <c r="S36">
        <f t="shared" si="12"/>
        <v>19</v>
      </c>
      <c r="T36">
        <f t="shared" si="13"/>
        <v>59</v>
      </c>
      <c r="U36">
        <v>75263</v>
      </c>
      <c r="V36">
        <v>83475</v>
      </c>
      <c r="W36" t="str">
        <f t="shared" si="14"/>
        <v>High Target</v>
      </c>
      <c r="X36" t="str">
        <f t="shared" si="15"/>
        <v>High Target</v>
      </c>
      <c r="Y36" t="s">
        <v>488</v>
      </c>
      <c r="Z36" t="str">
        <f t="shared" si="16"/>
        <v>GREAT SUPPORT</v>
      </c>
      <c r="AA36" t="str">
        <f t="shared" si="17"/>
        <v>great support</v>
      </c>
      <c r="AB36" t="str">
        <f t="shared" si="18"/>
        <v>Great Support</v>
      </c>
    </row>
    <row r="37" spans="1:28">
      <c r="A37" t="s">
        <v>186</v>
      </c>
      <c r="B37" t="s">
        <v>187</v>
      </c>
      <c r="C37">
        <f t="shared" si="1"/>
        <v>10</v>
      </c>
      <c r="D37" t="s">
        <v>12</v>
      </c>
      <c r="E37" t="str">
        <f t="shared" si="0"/>
        <v>Arjun Shah(E1036) - Sales</v>
      </c>
      <c r="F37" t="str">
        <f t="shared" si="2"/>
        <v>Sales</v>
      </c>
      <c r="G37">
        <f t="shared" si="3"/>
        <v>19</v>
      </c>
      <c r="H37" t="str">
        <f t="shared" si="4"/>
        <v xml:space="preserve">Arjun Shah(E1036) </v>
      </c>
      <c r="I37" t="s">
        <v>20</v>
      </c>
      <c r="J37" t="str">
        <f t="shared" si="5"/>
        <v>Pune</v>
      </c>
      <c r="K37" t="s">
        <v>188</v>
      </c>
      <c r="L37" t="str">
        <f t="shared" si="6"/>
        <v>Thursday</v>
      </c>
      <c r="M37" t="str">
        <f t="shared" si="7"/>
        <v>Thu</v>
      </c>
      <c r="N37" t="str">
        <f t="shared" si="8"/>
        <v>day</v>
      </c>
      <c r="O37">
        <f t="shared" si="9"/>
        <v>2</v>
      </c>
      <c r="P37">
        <f t="shared" si="10"/>
        <v>2024</v>
      </c>
      <c r="Q37" t="s">
        <v>189</v>
      </c>
      <c r="R37">
        <f t="shared" si="11"/>
        <v>8</v>
      </c>
      <c r="S37">
        <f t="shared" si="12"/>
        <v>17</v>
      </c>
      <c r="T37">
        <f t="shared" si="13"/>
        <v>18</v>
      </c>
      <c r="U37">
        <v>78441</v>
      </c>
      <c r="V37">
        <v>79638</v>
      </c>
      <c r="W37" t="str">
        <f t="shared" si="14"/>
        <v>High Target</v>
      </c>
      <c r="X37" t="str">
        <f t="shared" si="15"/>
        <v>Medium Target</v>
      </c>
      <c r="Y37" t="s">
        <v>23</v>
      </c>
      <c r="Z37" t="str">
        <f t="shared" si="16"/>
        <v>FAST DELIVERY</v>
      </c>
      <c r="AA37" t="str">
        <f t="shared" si="17"/>
        <v>fast delivery</v>
      </c>
      <c r="AB37" t="str">
        <f t="shared" si="18"/>
        <v>Fast Delivery</v>
      </c>
    </row>
    <row r="38" spans="1:28">
      <c r="A38" t="s">
        <v>190</v>
      </c>
      <c r="B38" t="s">
        <v>191</v>
      </c>
      <c r="C38">
        <f t="shared" si="1"/>
        <v>11</v>
      </c>
      <c r="D38" t="s">
        <v>42</v>
      </c>
      <c r="E38" t="str">
        <f t="shared" si="0"/>
        <v>Rohan Mehta(E1037) - Finance</v>
      </c>
      <c r="F38" t="str">
        <f t="shared" si="2"/>
        <v>Finance</v>
      </c>
      <c r="G38">
        <f t="shared" si="3"/>
        <v>20</v>
      </c>
      <c r="H38" t="str">
        <f t="shared" si="4"/>
        <v xml:space="preserve">Rohan Mehta(E1037) </v>
      </c>
      <c r="I38" t="s">
        <v>80</v>
      </c>
      <c r="J38" t="str">
        <f t="shared" si="5"/>
        <v>Ahmed@bad</v>
      </c>
      <c r="K38" t="s">
        <v>192</v>
      </c>
      <c r="L38" t="str">
        <f t="shared" si="6"/>
        <v>Monday</v>
      </c>
      <c r="M38" t="str">
        <f t="shared" si="7"/>
        <v>Mon</v>
      </c>
      <c r="N38" t="str">
        <f t="shared" si="8"/>
        <v>day</v>
      </c>
      <c r="O38">
        <f t="shared" si="9"/>
        <v>5</v>
      </c>
      <c r="P38">
        <f t="shared" si="10"/>
        <v>2022</v>
      </c>
      <c r="Q38" t="s">
        <v>193</v>
      </c>
      <c r="R38">
        <f t="shared" si="11"/>
        <v>8</v>
      </c>
      <c r="S38">
        <f t="shared" si="12"/>
        <v>5</v>
      </c>
      <c r="T38">
        <f t="shared" si="13"/>
        <v>40</v>
      </c>
      <c r="U38">
        <v>70891</v>
      </c>
      <c r="V38">
        <v>67759</v>
      </c>
      <c r="W38" t="str">
        <f t="shared" si="14"/>
        <v>High Target</v>
      </c>
      <c r="X38" t="str">
        <f t="shared" si="15"/>
        <v>Medium Target</v>
      </c>
      <c r="Y38" t="s">
        <v>160</v>
      </c>
      <c r="Z38" t="str">
        <f t="shared" si="16"/>
        <v>EXCELLENT SERVICE</v>
      </c>
      <c r="AA38" t="str">
        <f t="shared" si="17"/>
        <v>excellent service</v>
      </c>
      <c r="AB38" t="str">
        <f t="shared" si="18"/>
        <v>Excellent Service</v>
      </c>
    </row>
    <row r="39" spans="1:28">
      <c r="A39" t="s">
        <v>194</v>
      </c>
      <c r="B39" t="s">
        <v>195</v>
      </c>
      <c r="C39">
        <f t="shared" si="1"/>
        <v>9</v>
      </c>
      <c r="D39" t="s">
        <v>54</v>
      </c>
      <c r="E39" t="str">
        <f t="shared" si="0"/>
        <v>Amit Iyer(E1038) - HR</v>
      </c>
      <c r="F39" t="str">
        <f t="shared" si="2"/>
        <v>HR</v>
      </c>
      <c r="G39">
        <f t="shared" si="3"/>
        <v>18</v>
      </c>
      <c r="H39" t="str">
        <f t="shared" si="4"/>
        <v xml:space="preserve">Amit Iyer(E1038) </v>
      </c>
      <c r="I39" t="s">
        <v>13</v>
      </c>
      <c r="J39" t="str">
        <f t="shared" si="5"/>
        <v>Chenn@i</v>
      </c>
      <c r="K39" t="s">
        <v>196</v>
      </c>
      <c r="L39" t="str">
        <f t="shared" si="6"/>
        <v>Saturday</v>
      </c>
      <c r="M39" t="str">
        <f t="shared" si="7"/>
        <v>Sat</v>
      </c>
      <c r="N39" t="str">
        <f t="shared" si="8"/>
        <v>day</v>
      </c>
      <c r="O39">
        <f t="shared" si="9"/>
        <v>11</v>
      </c>
      <c r="P39">
        <f t="shared" si="10"/>
        <v>2021</v>
      </c>
      <c r="Q39" t="s">
        <v>197</v>
      </c>
      <c r="R39">
        <f t="shared" si="11"/>
        <v>10</v>
      </c>
      <c r="S39">
        <f t="shared" si="12"/>
        <v>28</v>
      </c>
      <c r="T39">
        <f t="shared" si="13"/>
        <v>35</v>
      </c>
      <c r="U39">
        <v>99274</v>
      </c>
      <c r="V39">
        <v>86246</v>
      </c>
      <c r="W39" t="str">
        <f t="shared" si="14"/>
        <v>High Target</v>
      </c>
      <c r="X39" t="str">
        <f t="shared" si="15"/>
        <v>High Target</v>
      </c>
      <c r="Y39" t="s">
        <v>45</v>
      </c>
      <c r="Z39" t="str">
        <f t="shared" si="16"/>
        <v>STRONG PRESENTATION</v>
      </c>
      <c r="AA39" t="str">
        <f t="shared" si="17"/>
        <v>strong presentation</v>
      </c>
      <c r="AB39" t="str">
        <f t="shared" si="18"/>
        <v>Strong Presentation</v>
      </c>
    </row>
    <row r="40" spans="1:28">
      <c r="A40" t="s">
        <v>198</v>
      </c>
      <c r="B40" t="s">
        <v>199</v>
      </c>
      <c r="C40">
        <f t="shared" si="1"/>
        <v>10</v>
      </c>
      <c r="D40" t="s">
        <v>12</v>
      </c>
      <c r="E40" t="str">
        <f t="shared" si="0"/>
        <v>Amit Singh(E1039) - Sales</v>
      </c>
      <c r="F40" t="str">
        <f t="shared" si="2"/>
        <v>Sales</v>
      </c>
      <c r="G40">
        <f t="shared" si="3"/>
        <v>19</v>
      </c>
      <c r="H40" t="str">
        <f t="shared" si="4"/>
        <v xml:space="preserve">Amit Singh(E1039) </v>
      </c>
      <c r="I40" t="s">
        <v>66</v>
      </c>
      <c r="J40" t="str">
        <f t="shared" si="5"/>
        <v>Delhi</v>
      </c>
      <c r="K40" t="s">
        <v>200</v>
      </c>
      <c r="L40" t="str">
        <f t="shared" si="6"/>
        <v>Tuesday</v>
      </c>
      <c r="M40" t="str">
        <f t="shared" si="7"/>
        <v>Tue</v>
      </c>
      <c r="N40" t="str">
        <f t="shared" si="8"/>
        <v>day</v>
      </c>
      <c r="O40">
        <f t="shared" si="9"/>
        <v>1</v>
      </c>
      <c r="P40">
        <f t="shared" si="10"/>
        <v>2024</v>
      </c>
      <c r="Q40" t="s">
        <v>201</v>
      </c>
      <c r="R40">
        <f t="shared" si="11"/>
        <v>8</v>
      </c>
      <c r="S40">
        <f t="shared" si="12"/>
        <v>53</v>
      </c>
      <c r="T40">
        <f t="shared" si="13"/>
        <v>23</v>
      </c>
      <c r="U40">
        <v>72880</v>
      </c>
      <c r="V40">
        <v>78175</v>
      </c>
      <c r="W40" t="str">
        <f t="shared" si="14"/>
        <v>High Target</v>
      </c>
      <c r="X40" t="str">
        <f t="shared" si="15"/>
        <v>Medium Target</v>
      </c>
      <c r="Y40" t="s">
        <v>169</v>
      </c>
      <c r="Z40" t="str">
        <f t="shared" si="16"/>
        <v>DETAILED ANALYSIS</v>
      </c>
      <c r="AA40" t="str">
        <f t="shared" si="17"/>
        <v>detailed analysis</v>
      </c>
      <c r="AB40" t="str">
        <f t="shared" si="18"/>
        <v>Detailed Analysis</v>
      </c>
    </row>
    <row r="41" spans="1:28">
      <c r="A41" t="s">
        <v>202</v>
      </c>
      <c r="B41" t="s">
        <v>203</v>
      </c>
      <c r="C41">
        <f t="shared" si="1"/>
        <v>11</v>
      </c>
      <c r="D41" t="s">
        <v>42</v>
      </c>
      <c r="E41" t="str">
        <f t="shared" si="0"/>
        <v>Arjun Patel(E1040) - Finance</v>
      </c>
      <c r="F41" t="str">
        <f t="shared" si="2"/>
        <v>Finance</v>
      </c>
      <c r="G41">
        <f t="shared" si="3"/>
        <v>20</v>
      </c>
      <c r="H41" t="str">
        <f t="shared" si="4"/>
        <v xml:space="preserve">Arjun Patel(E1040) </v>
      </c>
      <c r="I41" t="s">
        <v>35</v>
      </c>
      <c r="J41" t="str">
        <f t="shared" si="5"/>
        <v>Hyder@bad</v>
      </c>
      <c r="K41" t="s">
        <v>204</v>
      </c>
      <c r="L41" t="str">
        <f t="shared" si="6"/>
        <v>Tuesday</v>
      </c>
      <c r="M41" t="str">
        <f t="shared" si="7"/>
        <v>Tue</v>
      </c>
      <c r="N41" t="str">
        <f t="shared" si="8"/>
        <v>day</v>
      </c>
      <c r="O41">
        <f t="shared" si="9"/>
        <v>3</v>
      </c>
      <c r="P41">
        <f t="shared" si="10"/>
        <v>2021</v>
      </c>
      <c r="Q41" t="s">
        <v>205</v>
      </c>
      <c r="R41">
        <f t="shared" si="11"/>
        <v>9</v>
      </c>
      <c r="S41">
        <f t="shared" si="12"/>
        <v>13</v>
      </c>
      <c r="T41">
        <f t="shared" si="13"/>
        <v>43</v>
      </c>
      <c r="U41">
        <v>48089</v>
      </c>
      <c r="V41">
        <v>56353</v>
      </c>
      <c r="W41" t="str">
        <f t="shared" si="14"/>
        <v>High Target</v>
      </c>
      <c r="X41" t="str">
        <f t="shared" si="15"/>
        <v>Low Target</v>
      </c>
      <c r="Y41" t="s">
        <v>122</v>
      </c>
      <c r="Z41" t="str">
        <f t="shared" si="16"/>
        <v>CREATIVE IDEAS</v>
      </c>
      <c r="AA41" t="str">
        <f t="shared" si="17"/>
        <v>creative ideas</v>
      </c>
      <c r="AB41" t="str">
        <f t="shared" si="18"/>
        <v>Creative Ideas</v>
      </c>
    </row>
    <row r="42" spans="1:28">
      <c r="A42" t="s">
        <v>206</v>
      </c>
      <c r="B42" t="s">
        <v>207</v>
      </c>
      <c r="C42">
        <f t="shared" si="1"/>
        <v>11</v>
      </c>
      <c r="D42" t="s">
        <v>27</v>
      </c>
      <c r="E42" t="str">
        <f t="shared" si="0"/>
        <v>Harsh Goyal(E1041) - Marketing</v>
      </c>
      <c r="F42" t="str">
        <f t="shared" si="2"/>
        <v>Marketing</v>
      </c>
      <c r="G42">
        <f t="shared" si="3"/>
        <v>20</v>
      </c>
      <c r="H42" t="str">
        <f t="shared" si="4"/>
        <v xml:space="preserve">Harsh Goyal(E1041) </v>
      </c>
      <c r="I42" t="s">
        <v>66</v>
      </c>
      <c r="J42" t="str">
        <f t="shared" si="5"/>
        <v>Delhi</v>
      </c>
      <c r="K42" t="s">
        <v>208</v>
      </c>
      <c r="L42" t="str">
        <f t="shared" si="6"/>
        <v>Saturday</v>
      </c>
      <c r="M42" t="str">
        <f t="shared" si="7"/>
        <v>Sat</v>
      </c>
      <c r="N42" t="str">
        <f t="shared" si="8"/>
        <v>day</v>
      </c>
      <c r="O42">
        <f t="shared" si="9"/>
        <v>4</v>
      </c>
      <c r="P42">
        <f t="shared" si="10"/>
        <v>2022</v>
      </c>
      <c r="Q42" t="s">
        <v>209</v>
      </c>
      <c r="R42">
        <f t="shared" si="11"/>
        <v>8</v>
      </c>
      <c r="S42">
        <f t="shared" si="12"/>
        <v>51</v>
      </c>
      <c r="T42">
        <f t="shared" si="13"/>
        <v>51</v>
      </c>
      <c r="U42">
        <v>63623</v>
      </c>
      <c r="V42">
        <v>51603</v>
      </c>
      <c r="W42" t="str">
        <f t="shared" si="14"/>
        <v>High Target</v>
      </c>
      <c r="X42" t="str">
        <f t="shared" si="15"/>
        <v>Low Target</v>
      </c>
      <c r="Y42" t="s">
        <v>160</v>
      </c>
      <c r="Z42" t="str">
        <f t="shared" si="16"/>
        <v>EXCELLENT SERVICE</v>
      </c>
      <c r="AA42" t="str">
        <f t="shared" si="17"/>
        <v>excellent service</v>
      </c>
      <c r="AB42" t="str">
        <f t="shared" si="18"/>
        <v>Excellent Service</v>
      </c>
    </row>
    <row r="43" spans="1:28">
      <c r="A43" t="s">
        <v>210</v>
      </c>
      <c r="B43" t="s">
        <v>211</v>
      </c>
      <c r="C43">
        <f t="shared" si="1"/>
        <v>10</v>
      </c>
      <c r="D43" t="s">
        <v>27</v>
      </c>
      <c r="E43" t="str">
        <f t="shared" si="0"/>
        <v>Sneha Iyer(E1042) - Marketing</v>
      </c>
      <c r="F43" t="str">
        <f t="shared" si="2"/>
        <v>Marketing</v>
      </c>
      <c r="G43">
        <f t="shared" si="3"/>
        <v>19</v>
      </c>
      <c r="H43" t="str">
        <f t="shared" si="4"/>
        <v xml:space="preserve">Sneha Iyer(E1042) </v>
      </c>
      <c r="I43" t="s">
        <v>28</v>
      </c>
      <c r="J43" t="str">
        <f t="shared" si="5"/>
        <v>B@ngalore</v>
      </c>
      <c r="K43" t="s">
        <v>212</v>
      </c>
      <c r="L43" t="str">
        <f t="shared" si="6"/>
        <v>Friday</v>
      </c>
      <c r="M43" t="str">
        <f t="shared" si="7"/>
        <v>Fri</v>
      </c>
      <c r="N43" t="str">
        <f t="shared" si="8"/>
        <v>day</v>
      </c>
      <c r="O43">
        <f t="shared" si="9"/>
        <v>7</v>
      </c>
      <c r="P43">
        <f t="shared" si="10"/>
        <v>2022</v>
      </c>
      <c r="Q43" t="s">
        <v>213</v>
      </c>
      <c r="R43">
        <f t="shared" si="11"/>
        <v>8</v>
      </c>
      <c r="S43">
        <f t="shared" si="12"/>
        <v>50</v>
      </c>
      <c r="T43">
        <f t="shared" si="13"/>
        <v>44</v>
      </c>
      <c r="U43">
        <v>57154</v>
      </c>
      <c r="V43">
        <v>47084</v>
      </c>
      <c r="W43" t="str">
        <f t="shared" si="14"/>
        <v>Low Target</v>
      </c>
      <c r="X43" t="str">
        <f t="shared" si="15"/>
        <v>Low Target</v>
      </c>
      <c r="Y43" t="s">
        <v>214</v>
      </c>
      <c r="Z43" t="str">
        <f t="shared" si="16"/>
        <v>POSITIVE ATTITUDE</v>
      </c>
      <c r="AA43" t="str">
        <f t="shared" si="17"/>
        <v>positive attitude</v>
      </c>
      <c r="AB43" t="str">
        <f t="shared" si="18"/>
        <v>Positive Attitude</v>
      </c>
    </row>
    <row r="44" spans="1:28">
      <c r="A44" t="s">
        <v>215</v>
      </c>
      <c r="B44" t="s">
        <v>216</v>
      </c>
      <c r="C44">
        <f t="shared" si="1"/>
        <v>13</v>
      </c>
      <c r="D44" t="s">
        <v>54</v>
      </c>
      <c r="E44" t="str">
        <f t="shared" si="0"/>
        <v>Priya Agarwal(E1043) - HR</v>
      </c>
      <c r="F44" t="str">
        <f t="shared" si="2"/>
        <v>HR</v>
      </c>
      <c r="G44">
        <f t="shared" si="3"/>
        <v>22</v>
      </c>
      <c r="H44" t="str">
        <f t="shared" si="4"/>
        <v xml:space="preserve">Priya Agarwal(E1043) </v>
      </c>
      <c r="I44" t="s">
        <v>28</v>
      </c>
      <c r="J44" t="str">
        <f t="shared" si="5"/>
        <v>B@ngalore</v>
      </c>
      <c r="K44" t="s">
        <v>217</v>
      </c>
      <c r="L44" t="str">
        <f t="shared" si="6"/>
        <v>Tuesday</v>
      </c>
      <c r="M44" t="str">
        <f t="shared" si="7"/>
        <v>Tue</v>
      </c>
      <c r="N44" t="str">
        <f t="shared" si="8"/>
        <v>day</v>
      </c>
      <c r="O44">
        <f t="shared" si="9"/>
        <v>8</v>
      </c>
      <c r="P44">
        <f t="shared" si="10"/>
        <v>2023</v>
      </c>
      <c r="Q44" t="s">
        <v>218</v>
      </c>
      <c r="R44">
        <f t="shared" si="11"/>
        <v>9</v>
      </c>
      <c r="S44">
        <f t="shared" si="12"/>
        <v>19</v>
      </c>
      <c r="T44">
        <f t="shared" si="13"/>
        <v>52</v>
      </c>
      <c r="U44">
        <v>92038</v>
      </c>
      <c r="V44">
        <v>92123</v>
      </c>
      <c r="W44" t="str">
        <f t="shared" si="14"/>
        <v>High Target</v>
      </c>
      <c r="X44" t="str">
        <f t="shared" si="15"/>
        <v>High Target</v>
      </c>
      <c r="Y44" t="s">
        <v>76</v>
      </c>
      <c r="Z44" t="str">
        <f t="shared" si="16"/>
        <v>ACCURATE REPORTS</v>
      </c>
      <c r="AA44" t="str">
        <f t="shared" si="17"/>
        <v>accurate reports</v>
      </c>
      <c r="AB44" t="str">
        <f t="shared" si="18"/>
        <v>Accurate Reports</v>
      </c>
    </row>
    <row r="45" spans="1:28">
      <c r="A45" t="s">
        <v>219</v>
      </c>
      <c r="B45" t="s">
        <v>220</v>
      </c>
      <c r="C45">
        <f t="shared" si="1"/>
        <v>10</v>
      </c>
      <c r="D45" t="s">
        <v>27</v>
      </c>
      <c r="E45" t="str">
        <f t="shared" si="0"/>
        <v>Amit Mehta(E1044) - Marketing</v>
      </c>
      <c r="F45" t="str">
        <f t="shared" si="2"/>
        <v>Marketing</v>
      </c>
      <c r="G45">
        <f t="shared" si="3"/>
        <v>19</v>
      </c>
      <c r="H45" t="str">
        <f t="shared" si="4"/>
        <v xml:space="preserve">Amit Mehta(E1044) </v>
      </c>
      <c r="I45" t="s">
        <v>35</v>
      </c>
      <c r="J45" t="str">
        <f t="shared" si="5"/>
        <v>Hyder@bad</v>
      </c>
      <c r="K45" t="s">
        <v>221</v>
      </c>
      <c r="L45" t="str">
        <f t="shared" si="6"/>
        <v>Monday</v>
      </c>
      <c r="M45" t="str">
        <f t="shared" si="7"/>
        <v>Mon</v>
      </c>
      <c r="N45" t="str">
        <f t="shared" si="8"/>
        <v>day</v>
      </c>
      <c r="O45">
        <f t="shared" si="9"/>
        <v>7</v>
      </c>
      <c r="P45">
        <f t="shared" si="10"/>
        <v>2022</v>
      </c>
      <c r="Q45" t="s">
        <v>222</v>
      </c>
      <c r="R45">
        <f t="shared" si="11"/>
        <v>8</v>
      </c>
      <c r="S45">
        <f t="shared" si="12"/>
        <v>49</v>
      </c>
      <c r="T45">
        <f t="shared" si="13"/>
        <v>17</v>
      </c>
      <c r="U45">
        <v>81396</v>
      </c>
      <c r="V45">
        <v>63012</v>
      </c>
      <c r="W45" t="str">
        <f t="shared" si="14"/>
        <v>High Target</v>
      </c>
      <c r="X45" t="str">
        <f t="shared" si="15"/>
        <v>Medium Target</v>
      </c>
      <c r="Y45" t="s">
        <v>169</v>
      </c>
      <c r="Z45" t="str">
        <f t="shared" si="16"/>
        <v>DETAILED ANALYSIS</v>
      </c>
      <c r="AA45" t="str">
        <f t="shared" si="17"/>
        <v>detailed analysis</v>
      </c>
      <c r="AB45" t="str">
        <f t="shared" si="18"/>
        <v>Detailed Analysis</v>
      </c>
    </row>
    <row r="46" spans="1:28">
      <c r="A46" t="s">
        <v>223</v>
      </c>
      <c r="B46" t="s">
        <v>224</v>
      </c>
      <c r="C46">
        <f t="shared" si="1"/>
        <v>11</v>
      </c>
      <c r="D46" t="s">
        <v>42</v>
      </c>
      <c r="E46" t="str">
        <f t="shared" si="0"/>
        <v>Nidhi Goyal(E1045) - Finance</v>
      </c>
      <c r="F46" t="str">
        <f t="shared" si="2"/>
        <v>Finance</v>
      </c>
      <c r="G46">
        <f t="shared" si="3"/>
        <v>20</v>
      </c>
      <c r="H46" t="str">
        <f t="shared" si="4"/>
        <v xml:space="preserve">Nidhi Goyal(E1045) </v>
      </c>
      <c r="I46" t="s">
        <v>73</v>
      </c>
      <c r="J46" t="str">
        <f t="shared" si="5"/>
        <v>Mumb@i</v>
      </c>
      <c r="K46" t="s">
        <v>225</v>
      </c>
      <c r="L46" t="str">
        <f t="shared" si="6"/>
        <v>Wednesday</v>
      </c>
      <c r="M46" t="str">
        <f t="shared" si="7"/>
        <v>Wed</v>
      </c>
      <c r="N46" t="str">
        <f t="shared" si="8"/>
        <v>day</v>
      </c>
      <c r="O46">
        <f t="shared" si="9"/>
        <v>8</v>
      </c>
      <c r="P46">
        <f t="shared" si="10"/>
        <v>2021</v>
      </c>
      <c r="Q46" t="s">
        <v>226</v>
      </c>
      <c r="R46">
        <f t="shared" si="11"/>
        <v>9</v>
      </c>
      <c r="S46">
        <f t="shared" si="12"/>
        <v>11</v>
      </c>
      <c r="T46">
        <f t="shared" si="13"/>
        <v>37</v>
      </c>
      <c r="U46">
        <v>44904</v>
      </c>
      <c r="V46">
        <v>57397</v>
      </c>
      <c r="W46" t="str">
        <f t="shared" si="14"/>
        <v>High Target</v>
      </c>
      <c r="X46" t="str">
        <f t="shared" si="15"/>
        <v>Low Target</v>
      </c>
      <c r="Y46" t="s">
        <v>38</v>
      </c>
      <c r="Z46" t="str">
        <f t="shared" si="16"/>
        <v>GOOD COMMUNICATION</v>
      </c>
      <c r="AA46" t="str">
        <f t="shared" si="17"/>
        <v>good communication</v>
      </c>
      <c r="AB46" t="str">
        <f t="shared" si="18"/>
        <v>Good Communication</v>
      </c>
    </row>
    <row r="47" spans="1:28">
      <c r="A47" t="s">
        <v>227</v>
      </c>
      <c r="B47" t="s">
        <v>228</v>
      </c>
      <c r="C47">
        <f t="shared" si="1"/>
        <v>13</v>
      </c>
      <c r="D47" t="s">
        <v>42</v>
      </c>
      <c r="E47" t="str">
        <f t="shared" si="0"/>
        <v>Shreya Chopra(E1046) - Finance</v>
      </c>
      <c r="F47" t="str">
        <f t="shared" si="2"/>
        <v>Finance</v>
      </c>
      <c r="G47">
        <f t="shared" si="3"/>
        <v>22</v>
      </c>
      <c r="H47" t="str">
        <f t="shared" si="4"/>
        <v xml:space="preserve">Shreya Chopra(E1046) </v>
      </c>
      <c r="I47" t="s">
        <v>35</v>
      </c>
      <c r="J47" t="str">
        <f t="shared" si="5"/>
        <v>Hyder@bad</v>
      </c>
      <c r="K47" t="s">
        <v>229</v>
      </c>
      <c r="L47" t="str">
        <f t="shared" si="6"/>
        <v>Tuesday</v>
      </c>
      <c r="M47" t="str">
        <f t="shared" si="7"/>
        <v>Tue</v>
      </c>
      <c r="N47" t="str">
        <f t="shared" si="8"/>
        <v>day</v>
      </c>
      <c r="O47">
        <f t="shared" si="9"/>
        <v>6</v>
      </c>
      <c r="P47">
        <f t="shared" si="10"/>
        <v>2023</v>
      </c>
      <c r="Q47" t="s">
        <v>230</v>
      </c>
      <c r="R47">
        <f t="shared" si="11"/>
        <v>10</v>
      </c>
      <c r="S47">
        <f t="shared" si="12"/>
        <v>32</v>
      </c>
      <c r="T47">
        <f t="shared" si="13"/>
        <v>7</v>
      </c>
      <c r="U47">
        <v>62701</v>
      </c>
      <c r="V47">
        <v>65244</v>
      </c>
      <c r="W47" t="str">
        <f t="shared" si="14"/>
        <v>High Target</v>
      </c>
      <c r="X47" t="str">
        <f t="shared" si="15"/>
        <v>Medium Target</v>
      </c>
      <c r="Y47" t="s">
        <v>143</v>
      </c>
      <c r="Z47" t="str">
        <f t="shared" si="16"/>
        <v>NEEDS IMPROVEMENT</v>
      </c>
      <c r="AA47" t="str">
        <f t="shared" si="17"/>
        <v>needs improvement</v>
      </c>
      <c r="AB47" t="str">
        <f t="shared" si="18"/>
        <v>Needs Improvement</v>
      </c>
    </row>
    <row r="48" spans="1:28">
      <c r="A48" t="s">
        <v>231</v>
      </c>
      <c r="B48" t="s">
        <v>232</v>
      </c>
      <c r="C48">
        <f t="shared" si="1"/>
        <v>12</v>
      </c>
      <c r="D48" t="s">
        <v>12</v>
      </c>
      <c r="E48" t="str">
        <f t="shared" si="0"/>
        <v>Priya Chopra(E1047) - Sales</v>
      </c>
      <c r="F48" t="str">
        <f t="shared" si="2"/>
        <v>Sales</v>
      </c>
      <c r="G48">
        <f t="shared" si="3"/>
        <v>21</v>
      </c>
      <c r="H48" t="str">
        <f t="shared" si="4"/>
        <v xml:space="preserve">Priya Chopra(E1047) </v>
      </c>
      <c r="I48" t="s">
        <v>28</v>
      </c>
      <c r="J48" t="str">
        <f t="shared" si="5"/>
        <v>B@ngalore</v>
      </c>
      <c r="K48" t="s">
        <v>233</v>
      </c>
      <c r="L48" t="str">
        <f t="shared" si="6"/>
        <v>Monday</v>
      </c>
      <c r="M48" t="str">
        <f t="shared" si="7"/>
        <v>Mon</v>
      </c>
      <c r="N48" t="str">
        <f t="shared" si="8"/>
        <v>day</v>
      </c>
      <c r="O48">
        <f t="shared" si="9"/>
        <v>1</v>
      </c>
      <c r="P48">
        <f t="shared" si="10"/>
        <v>2023</v>
      </c>
      <c r="Q48" t="s">
        <v>234</v>
      </c>
      <c r="R48">
        <f t="shared" si="11"/>
        <v>9</v>
      </c>
      <c r="S48">
        <f t="shared" si="12"/>
        <v>4</v>
      </c>
      <c r="T48">
        <f t="shared" si="13"/>
        <v>42</v>
      </c>
      <c r="U48">
        <v>67211</v>
      </c>
      <c r="V48">
        <v>61639</v>
      </c>
      <c r="W48" t="str">
        <f t="shared" si="14"/>
        <v>High Target</v>
      </c>
      <c r="X48" t="str">
        <f t="shared" si="15"/>
        <v>Medium Target</v>
      </c>
      <c r="Y48" t="s">
        <v>69</v>
      </c>
      <c r="Z48" t="str">
        <f t="shared" si="16"/>
        <v>GOOD TEAMWORK</v>
      </c>
      <c r="AA48" t="str">
        <f t="shared" si="17"/>
        <v>good teamwork</v>
      </c>
      <c r="AB48" t="str">
        <f t="shared" si="18"/>
        <v>Good Teamwork</v>
      </c>
    </row>
    <row r="49" spans="1:28">
      <c r="A49" t="s">
        <v>235</v>
      </c>
      <c r="B49" t="s">
        <v>236</v>
      </c>
      <c r="C49">
        <f t="shared" si="1"/>
        <v>10</v>
      </c>
      <c r="D49" t="s">
        <v>42</v>
      </c>
      <c r="E49" t="str">
        <f t="shared" si="0"/>
        <v>Isha Singh(E1048) - Finance</v>
      </c>
      <c r="F49" t="str">
        <f t="shared" si="2"/>
        <v>Finance</v>
      </c>
      <c r="G49">
        <f t="shared" si="3"/>
        <v>19</v>
      </c>
      <c r="H49" t="str">
        <f t="shared" si="4"/>
        <v xml:space="preserve">Isha Singh(E1048) </v>
      </c>
      <c r="I49" t="s">
        <v>13</v>
      </c>
      <c r="J49" t="str">
        <f t="shared" si="5"/>
        <v>Chenn@i</v>
      </c>
      <c r="K49" t="s">
        <v>237</v>
      </c>
      <c r="L49" t="str">
        <f t="shared" si="6"/>
        <v>Friday</v>
      </c>
      <c r="M49" t="str">
        <f t="shared" si="7"/>
        <v>Fri</v>
      </c>
      <c r="N49" t="str">
        <f t="shared" si="8"/>
        <v>day</v>
      </c>
      <c r="O49">
        <f t="shared" si="9"/>
        <v>9</v>
      </c>
      <c r="P49">
        <f t="shared" si="10"/>
        <v>2024</v>
      </c>
      <c r="Q49" t="s">
        <v>238</v>
      </c>
      <c r="R49">
        <f t="shared" si="11"/>
        <v>9</v>
      </c>
      <c r="S49">
        <f t="shared" si="12"/>
        <v>20</v>
      </c>
      <c r="T49">
        <f t="shared" si="13"/>
        <v>25</v>
      </c>
      <c r="U49">
        <v>90068</v>
      </c>
      <c r="V49">
        <v>85692</v>
      </c>
      <c r="W49" t="str">
        <f t="shared" si="14"/>
        <v>High Target</v>
      </c>
      <c r="X49" t="str">
        <f t="shared" si="15"/>
        <v>High Target</v>
      </c>
      <c r="Y49" t="s">
        <v>45</v>
      </c>
      <c r="Z49" t="str">
        <f t="shared" si="16"/>
        <v>STRONG PRESENTATION</v>
      </c>
      <c r="AA49" t="str">
        <f t="shared" si="17"/>
        <v>strong presentation</v>
      </c>
      <c r="AB49" t="str">
        <f t="shared" si="18"/>
        <v>Strong Presentation</v>
      </c>
    </row>
    <row r="50" spans="1:28">
      <c r="A50" t="s">
        <v>239</v>
      </c>
      <c r="B50" t="s">
        <v>240</v>
      </c>
      <c r="C50">
        <f t="shared" si="1"/>
        <v>11</v>
      </c>
      <c r="D50" t="s">
        <v>27</v>
      </c>
      <c r="E50" t="str">
        <f t="shared" si="0"/>
        <v>Arjun Mehta(E1049) - Marketing</v>
      </c>
      <c r="F50" t="str">
        <f t="shared" si="2"/>
        <v>Marketing</v>
      </c>
      <c r="G50">
        <f t="shared" si="3"/>
        <v>20</v>
      </c>
      <c r="H50" t="str">
        <f t="shared" si="4"/>
        <v xml:space="preserve">Arjun Mehta(E1049) </v>
      </c>
      <c r="I50" t="s">
        <v>90</v>
      </c>
      <c r="J50" t="str">
        <f t="shared" si="5"/>
        <v>Kolk@ta</v>
      </c>
      <c r="K50" t="s">
        <v>241</v>
      </c>
      <c r="L50" t="str">
        <f t="shared" si="6"/>
        <v>Saturday</v>
      </c>
      <c r="M50" t="str">
        <f t="shared" si="7"/>
        <v>Sat</v>
      </c>
      <c r="N50" t="str">
        <f t="shared" si="8"/>
        <v>day</v>
      </c>
      <c r="O50">
        <f t="shared" si="9"/>
        <v>10</v>
      </c>
      <c r="P50">
        <f t="shared" si="10"/>
        <v>2024</v>
      </c>
      <c r="Q50" t="s">
        <v>242</v>
      </c>
      <c r="R50">
        <f t="shared" si="11"/>
        <v>10</v>
      </c>
      <c r="S50">
        <f t="shared" si="12"/>
        <v>57</v>
      </c>
      <c r="T50">
        <f t="shared" si="13"/>
        <v>11</v>
      </c>
      <c r="U50">
        <v>85061</v>
      </c>
      <c r="V50">
        <v>80338</v>
      </c>
      <c r="W50" t="str">
        <f t="shared" si="14"/>
        <v>High Target</v>
      </c>
      <c r="X50" t="str">
        <f t="shared" si="15"/>
        <v>High Target</v>
      </c>
      <c r="Y50" t="s">
        <v>169</v>
      </c>
      <c r="Z50" t="str">
        <f t="shared" si="16"/>
        <v>DETAILED ANALYSIS</v>
      </c>
      <c r="AA50" t="str">
        <f t="shared" si="17"/>
        <v>detailed analysis</v>
      </c>
      <c r="AB50" t="str">
        <f t="shared" si="18"/>
        <v>Detailed Analysis</v>
      </c>
    </row>
    <row r="51" spans="1:28">
      <c r="A51" t="s">
        <v>243</v>
      </c>
      <c r="B51" t="s">
        <v>244</v>
      </c>
      <c r="C51">
        <f t="shared" si="1"/>
        <v>13</v>
      </c>
      <c r="D51" t="s">
        <v>42</v>
      </c>
      <c r="E51" t="str">
        <f t="shared" si="0"/>
        <v>Ritika Sharma(E1050) - Finance</v>
      </c>
      <c r="F51" t="str">
        <f t="shared" si="2"/>
        <v>Finance</v>
      </c>
      <c r="G51">
        <f t="shared" si="3"/>
        <v>22</v>
      </c>
      <c r="H51" t="str">
        <f t="shared" si="4"/>
        <v xml:space="preserve">Ritika Sharma(E1050) </v>
      </c>
      <c r="I51" t="s">
        <v>13</v>
      </c>
      <c r="J51" t="str">
        <f t="shared" si="5"/>
        <v>Chenn@i</v>
      </c>
      <c r="K51" t="s">
        <v>245</v>
      </c>
      <c r="L51" t="str">
        <f t="shared" si="6"/>
        <v>Monday</v>
      </c>
      <c r="M51" t="str">
        <f t="shared" si="7"/>
        <v>Mon</v>
      </c>
      <c r="N51" t="str">
        <f t="shared" si="8"/>
        <v>day</v>
      </c>
      <c r="O51">
        <f t="shared" si="9"/>
        <v>3</v>
      </c>
      <c r="P51">
        <f t="shared" si="10"/>
        <v>2022</v>
      </c>
      <c r="Q51" t="s">
        <v>246</v>
      </c>
      <c r="R51">
        <f t="shared" si="11"/>
        <v>9</v>
      </c>
      <c r="S51">
        <f t="shared" si="12"/>
        <v>50</v>
      </c>
      <c r="T51">
        <f t="shared" si="13"/>
        <v>37</v>
      </c>
      <c r="U51">
        <v>85876</v>
      </c>
      <c r="V51">
        <v>79758</v>
      </c>
      <c r="W51" t="str">
        <f t="shared" si="14"/>
        <v>High Target</v>
      </c>
      <c r="X51" t="str">
        <f t="shared" si="15"/>
        <v>Medium Target</v>
      </c>
      <c r="Y51" t="s">
        <v>57</v>
      </c>
      <c r="Z51" t="str">
        <f t="shared" si="16"/>
        <v>HELPFUL ATTITUDE</v>
      </c>
      <c r="AA51" t="str">
        <f t="shared" si="17"/>
        <v>helpful attitude</v>
      </c>
      <c r="AB51" t="str">
        <f t="shared" si="18"/>
        <v>Helpful Attitude</v>
      </c>
    </row>
    <row r="52" spans="1:28">
      <c r="A52" t="s">
        <v>247</v>
      </c>
      <c r="B52" t="s">
        <v>248</v>
      </c>
      <c r="C52">
        <f t="shared" si="1"/>
        <v>15</v>
      </c>
      <c r="D52" t="s">
        <v>54</v>
      </c>
      <c r="E52" t="str">
        <f t="shared" si="0"/>
        <v>Deepak Malhotra(E1051) - HR</v>
      </c>
      <c r="F52" t="str">
        <f t="shared" si="2"/>
        <v>HR</v>
      </c>
      <c r="G52">
        <f t="shared" si="3"/>
        <v>24</v>
      </c>
      <c r="H52" t="str">
        <f t="shared" si="4"/>
        <v xml:space="preserve">Deepak Malhotra(E1051) </v>
      </c>
      <c r="I52" t="s">
        <v>80</v>
      </c>
      <c r="J52" t="str">
        <f t="shared" si="5"/>
        <v>Ahmed@bad</v>
      </c>
      <c r="K52" t="s">
        <v>249</v>
      </c>
      <c r="L52" t="str">
        <f t="shared" si="6"/>
        <v>Tuesday</v>
      </c>
      <c r="M52" t="str">
        <f t="shared" si="7"/>
        <v>Tue</v>
      </c>
      <c r="N52" t="str">
        <f t="shared" si="8"/>
        <v>day</v>
      </c>
      <c r="O52">
        <f t="shared" si="9"/>
        <v>12</v>
      </c>
      <c r="P52">
        <f t="shared" si="10"/>
        <v>2021</v>
      </c>
      <c r="Q52" t="s">
        <v>250</v>
      </c>
      <c r="R52">
        <f t="shared" si="11"/>
        <v>10</v>
      </c>
      <c r="S52">
        <f t="shared" si="12"/>
        <v>5</v>
      </c>
      <c r="T52">
        <f t="shared" si="13"/>
        <v>18</v>
      </c>
      <c r="U52">
        <v>80746</v>
      </c>
      <c r="V52">
        <v>73780</v>
      </c>
      <c r="W52" t="str">
        <f t="shared" si="14"/>
        <v>High Target</v>
      </c>
      <c r="X52" t="str">
        <f t="shared" si="15"/>
        <v>Medium Target</v>
      </c>
      <c r="Y52" t="s">
        <v>38</v>
      </c>
      <c r="Z52" t="str">
        <f t="shared" si="16"/>
        <v>GOOD COMMUNICATION</v>
      </c>
      <c r="AA52" t="str">
        <f t="shared" si="17"/>
        <v>good communication</v>
      </c>
      <c r="AB52" t="str">
        <f t="shared" si="18"/>
        <v>Good Communication</v>
      </c>
    </row>
    <row r="53" spans="1:28">
      <c r="A53" t="s">
        <v>251</v>
      </c>
      <c r="B53" t="s">
        <v>252</v>
      </c>
      <c r="C53">
        <f t="shared" si="1"/>
        <v>10</v>
      </c>
      <c r="D53" t="s">
        <v>42</v>
      </c>
      <c r="E53" t="str">
        <f t="shared" si="0"/>
        <v>Varun Nair(E1052) - Finance</v>
      </c>
      <c r="F53" t="str">
        <f t="shared" si="2"/>
        <v>Finance</v>
      </c>
      <c r="G53">
        <f t="shared" si="3"/>
        <v>19</v>
      </c>
      <c r="H53" t="str">
        <f t="shared" si="4"/>
        <v xml:space="preserve">Varun Nair(E1052) </v>
      </c>
      <c r="I53" t="s">
        <v>28</v>
      </c>
      <c r="J53" t="str">
        <f t="shared" si="5"/>
        <v>B@ngalore</v>
      </c>
      <c r="K53" t="s">
        <v>253</v>
      </c>
      <c r="L53" t="str">
        <f t="shared" si="6"/>
        <v>Saturday</v>
      </c>
      <c r="M53" t="str">
        <f t="shared" si="7"/>
        <v>Sat</v>
      </c>
      <c r="N53" t="str">
        <f t="shared" si="8"/>
        <v>day</v>
      </c>
      <c r="O53">
        <f t="shared" si="9"/>
        <v>2</v>
      </c>
      <c r="P53">
        <f t="shared" si="10"/>
        <v>2022</v>
      </c>
      <c r="Q53" t="s">
        <v>254</v>
      </c>
      <c r="R53">
        <f t="shared" si="11"/>
        <v>8</v>
      </c>
      <c r="S53">
        <f t="shared" si="12"/>
        <v>1</v>
      </c>
      <c r="T53">
        <f t="shared" si="13"/>
        <v>2</v>
      </c>
      <c r="U53">
        <v>72184</v>
      </c>
      <c r="V53">
        <v>56046</v>
      </c>
      <c r="W53" t="str">
        <f t="shared" si="14"/>
        <v>High Target</v>
      </c>
      <c r="X53" t="str">
        <f t="shared" si="15"/>
        <v>Low Target</v>
      </c>
      <c r="Y53" t="s">
        <v>16</v>
      </c>
      <c r="Z53" t="str">
        <f t="shared" si="16"/>
        <v>EXCELLENT LEADERSHIP</v>
      </c>
      <c r="AA53" t="str">
        <f t="shared" si="17"/>
        <v>excellent leadership</v>
      </c>
      <c r="AB53" t="str">
        <f t="shared" si="18"/>
        <v>Excellent Leadership</v>
      </c>
    </row>
    <row r="54" spans="1:28">
      <c r="A54" t="s">
        <v>255</v>
      </c>
      <c r="B54" t="s">
        <v>256</v>
      </c>
      <c r="C54">
        <f t="shared" si="1"/>
        <v>10</v>
      </c>
      <c r="D54" t="s">
        <v>27</v>
      </c>
      <c r="E54" t="str">
        <f t="shared" si="0"/>
        <v>Isha Verma(E1053) - Marketing</v>
      </c>
      <c r="F54" t="str">
        <f t="shared" si="2"/>
        <v>Marketing</v>
      </c>
      <c r="G54">
        <f t="shared" si="3"/>
        <v>19</v>
      </c>
      <c r="H54" t="str">
        <f t="shared" si="4"/>
        <v xml:space="preserve">Isha Verma(E1053) </v>
      </c>
      <c r="I54" t="s">
        <v>90</v>
      </c>
      <c r="J54" t="str">
        <f t="shared" si="5"/>
        <v>Kolk@ta</v>
      </c>
      <c r="K54" t="s">
        <v>257</v>
      </c>
      <c r="L54" t="str">
        <f t="shared" si="6"/>
        <v>Saturday</v>
      </c>
      <c r="M54" t="str">
        <f t="shared" si="7"/>
        <v>Sat</v>
      </c>
      <c r="N54" t="str">
        <f t="shared" si="8"/>
        <v>day</v>
      </c>
      <c r="O54">
        <f t="shared" si="9"/>
        <v>7</v>
      </c>
      <c r="P54">
        <f t="shared" si="10"/>
        <v>2024</v>
      </c>
      <c r="Q54" t="s">
        <v>258</v>
      </c>
      <c r="R54">
        <f t="shared" si="11"/>
        <v>10</v>
      </c>
      <c r="S54">
        <f t="shared" si="12"/>
        <v>12</v>
      </c>
      <c r="T54">
        <f t="shared" si="13"/>
        <v>45</v>
      </c>
      <c r="U54">
        <v>95800</v>
      </c>
      <c r="V54">
        <v>85636</v>
      </c>
      <c r="W54" t="str">
        <f t="shared" si="14"/>
        <v>High Target</v>
      </c>
      <c r="X54" t="str">
        <f t="shared" si="15"/>
        <v>High Target</v>
      </c>
      <c r="Y54" t="s">
        <v>57</v>
      </c>
      <c r="Z54" t="str">
        <f t="shared" si="16"/>
        <v>HELPFUL ATTITUDE</v>
      </c>
      <c r="AA54" t="str">
        <f t="shared" si="17"/>
        <v>helpful attitude</v>
      </c>
      <c r="AB54" t="str">
        <f t="shared" si="18"/>
        <v>Helpful Attitude</v>
      </c>
    </row>
    <row r="55" spans="1:28">
      <c r="A55" t="s">
        <v>259</v>
      </c>
      <c r="B55" t="s">
        <v>260</v>
      </c>
      <c r="C55">
        <f t="shared" si="1"/>
        <v>11</v>
      </c>
      <c r="D55" t="s">
        <v>54</v>
      </c>
      <c r="E55" t="str">
        <f t="shared" si="0"/>
        <v>Suresh Nair(E1054) - HR</v>
      </c>
      <c r="F55" t="str">
        <f t="shared" si="2"/>
        <v>HR</v>
      </c>
      <c r="G55">
        <f t="shared" si="3"/>
        <v>20</v>
      </c>
      <c r="H55" t="str">
        <f t="shared" si="4"/>
        <v xml:space="preserve">Suresh Nair(E1054) </v>
      </c>
      <c r="I55" t="s">
        <v>73</v>
      </c>
      <c r="J55" t="str">
        <f t="shared" si="5"/>
        <v>Mumb@i</v>
      </c>
      <c r="K55" t="s">
        <v>261</v>
      </c>
      <c r="L55" t="str">
        <f t="shared" si="6"/>
        <v>Saturday</v>
      </c>
      <c r="M55" t="str">
        <f t="shared" si="7"/>
        <v>Sat</v>
      </c>
      <c r="N55" t="str">
        <f t="shared" si="8"/>
        <v>day</v>
      </c>
      <c r="O55">
        <f t="shared" si="9"/>
        <v>8</v>
      </c>
      <c r="P55">
        <f t="shared" si="10"/>
        <v>2021</v>
      </c>
      <c r="Q55" t="s">
        <v>262</v>
      </c>
      <c r="R55">
        <f t="shared" si="11"/>
        <v>9</v>
      </c>
      <c r="S55">
        <f t="shared" si="12"/>
        <v>14</v>
      </c>
      <c r="T55">
        <f t="shared" si="13"/>
        <v>11</v>
      </c>
      <c r="U55">
        <v>111642</v>
      </c>
      <c r="V55">
        <v>92698</v>
      </c>
      <c r="W55" t="str">
        <f t="shared" si="14"/>
        <v>High Target</v>
      </c>
      <c r="X55" t="str">
        <f t="shared" si="15"/>
        <v>High Target</v>
      </c>
      <c r="Y55" t="s">
        <v>57</v>
      </c>
      <c r="Z55" t="str">
        <f t="shared" si="16"/>
        <v>HELPFUL ATTITUDE</v>
      </c>
      <c r="AA55" t="str">
        <f t="shared" si="17"/>
        <v>helpful attitude</v>
      </c>
      <c r="AB55" t="str">
        <f t="shared" si="18"/>
        <v>Helpful Attitude</v>
      </c>
    </row>
    <row r="56" spans="1:28">
      <c r="A56" t="s">
        <v>263</v>
      </c>
      <c r="B56" t="s">
        <v>264</v>
      </c>
      <c r="C56">
        <f t="shared" si="1"/>
        <v>11</v>
      </c>
      <c r="D56" t="s">
        <v>54</v>
      </c>
      <c r="E56" t="str">
        <f t="shared" si="0"/>
        <v>Priya Goyal(E1055) - HR</v>
      </c>
      <c r="F56" t="str">
        <f t="shared" si="2"/>
        <v>HR</v>
      </c>
      <c r="G56">
        <f t="shared" si="3"/>
        <v>20</v>
      </c>
      <c r="H56" t="str">
        <f t="shared" si="4"/>
        <v xml:space="preserve">Priya Goyal(E1055) </v>
      </c>
      <c r="I56" t="s">
        <v>20</v>
      </c>
      <c r="J56" t="str">
        <f t="shared" si="5"/>
        <v>Pune</v>
      </c>
      <c r="K56" t="s">
        <v>265</v>
      </c>
      <c r="L56" t="str">
        <f t="shared" si="6"/>
        <v>Monday</v>
      </c>
      <c r="M56" t="str">
        <f t="shared" si="7"/>
        <v>Mon</v>
      </c>
      <c r="N56" t="str">
        <f t="shared" si="8"/>
        <v>day</v>
      </c>
      <c r="O56">
        <f t="shared" si="9"/>
        <v>7</v>
      </c>
      <c r="P56">
        <f t="shared" si="10"/>
        <v>2023</v>
      </c>
      <c r="Q56" t="s">
        <v>266</v>
      </c>
      <c r="R56">
        <f t="shared" si="11"/>
        <v>8</v>
      </c>
      <c r="S56">
        <f t="shared" si="12"/>
        <v>51</v>
      </c>
      <c r="T56">
        <f t="shared" si="13"/>
        <v>29</v>
      </c>
      <c r="U56">
        <v>103558</v>
      </c>
      <c r="V56">
        <v>83750</v>
      </c>
      <c r="W56" t="str">
        <f t="shared" si="14"/>
        <v>High Target</v>
      </c>
      <c r="X56" t="str">
        <f t="shared" si="15"/>
        <v>High Target</v>
      </c>
      <c r="Y56" t="s">
        <v>45</v>
      </c>
      <c r="Z56" t="str">
        <f t="shared" si="16"/>
        <v>STRONG PRESENTATION</v>
      </c>
      <c r="AA56" t="str">
        <f t="shared" si="17"/>
        <v>strong presentation</v>
      </c>
      <c r="AB56" t="str">
        <f t="shared" si="18"/>
        <v>Strong Presentation</v>
      </c>
    </row>
    <row r="57" spans="1:28">
      <c r="A57" t="s">
        <v>267</v>
      </c>
      <c r="B57" t="s">
        <v>268</v>
      </c>
      <c r="C57">
        <f t="shared" si="1"/>
        <v>11</v>
      </c>
      <c r="D57" t="s">
        <v>27</v>
      </c>
      <c r="E57" t="str">
        <f t="shared" si="0"/>
        <v>Shreya Iyer(E1056) - Marketing</v>
      </c>
      <c r="F57" t="str">
        <f t="shared" si="2"/>
        <v>Marketing</v>
      </c>
      <c r="G57">
        <f t="shared" si="3"/>
        <v>20</v>
      </c>
      <c r="H57" t="str">
        <f t="shared" si="4"/>
        <v xml:space="preserve">Shreya Iyer(E1056) </v>
      </c>
      <c r="I57" t="s">
        <v>90</v>
      </c>
      <c r="J57" t="str">
        <f t="shared" si="5"/>
        <v>Kolk@ta</v>
      </c>
      <c r="K57" t="s">
        <v>269</v>
      </c>
      <c r="L57" t="str">
        <f t="shared" si="6"/>
        <v>Sunday</v>
      </c>
      <c r="M57" t="str">
        <f t="shared" si="7"/>
        <v>Sun</v>
      </c>
      <c r="N57" t="str">
        <f t="shared" si="8"/>
        <v>day</v>
      </c>
      <c r="O57">
        <f t="shared" si="9"/>
        <v>1</v>
      </c>
      <c r="P57">
        <f t="shared" si="10"/>
        <v>2024</v>
      </c>
      <c r="Q57" t="s">
        <v>270</v>
      </c>
      <c r="R57">
        <f t="shared" si="11"/>
        <v>9</v>
      </c>
      <c r="S57">
        <f t="shared" si="12"/>
        <v>57</v>
      </c>
      <c r="T57">
        <f t="shared" si="13"/>
        <v>10</v>
      </c>
      <c r="U57">
        <v>104844</v>
      </c>
      <c r="V57">
        <v>88736</v>
      </c>
      <c r="W57" t="str">
        <f t="shared" si="14"/>
        <v>High Target</v>
      </c>
      <c r="X57" t="str">
        <f t="shared" si="15"/>
        <v>High Target</v>
      </c>
      <c r="Y57" t="s">
        <v>57</v>
      </c>
      <c r="Z57" t="str">
        <f t="shared" si="16"/>
        <v>HELPFUL ATTITUDE</v>
      </c>
      <c r="AA57" t="str">
        <f t="shared" si="17"/>
        <v>helpful attitude</v>
      </c>
      <c r="AB57" t="str">
        <f t="shared" si="18"/>
        <v>Helpful Attitude</v>
      </c>
    </row>
    <row r="58" spans="1:28">
      <c r="A58" t="s">
        <v>271</v>
      </c>
      <c r="B58" t="s">
        <v>272</v>
      </c>
      <c r="C58">
        <f t="shared" si="1"/>
        <v>11</v>
      </c>
      <c r="D58" t="s">
        <v>42</v>
      </c>
      <c r="E58" t="str">
        <f t="shared" si="0"/>
        <v>Vikram Nair(E1057) - Finance</v>
      </c>
      <c r="F58" t="str">
        <f t="shared" si="2"/>
        <v>Finance</v>
      </c>
      <c r="G58">
        <f t="shared" si="3"/>
        <v>20</v>
      </c>
      <c r="H58" t="str">
        <f t="shared" si="4"/>
        <v xml:space="preserve">Vikram Nair(E1057) </v>
      </c>
      <c r="I58" t="s">
        <v>80</v>
      </c>
      <c r="J58" t="str">
        <f t="shared" si="5"/>
        <v>Ahmed@bad</v>
      </c>
      <c r="K58" t="s">
        <v>273</v>
      </c>
      <c r="L58" t="str">
        <f t="shared" si="6"/>
        <v>Sunday</v>
      </c>
      <c r="M58" t="str">
        <f t="shared" si="7"/>
        <v>Sun</v>
      </c>
      <c r="N58" t="str">
        <f t="shared" si="8"/>
        <v>day</v>
      </c>
      <c r="O58">
        <f t="shared" si="9"/>
        <v>7</v>
      </c>
      <c r="P58">
        <f t="shared" si="10"/>
        <v>2024</v>
      </c>
      <c r="Q58" t="s">
        <v>274</v>
      </c>
      <c r="R58">
        <f t="shared" si="11"/>
        <v>8</v>
      </c>
      <c r="S58">
        <f t="shared" si="12"/>
        <v>17</v>
      </c>
      <c r="T58">
        <f t="shared" si="13"/>
        <v>28</v>
      </c>
      <c r="U58">
        <v>48802</v>
      </c>
      <c r="V58">
        <v>45077</v>
      </c>
      <c r="W58" t="str">
        <f t="shared" si="14"/>
        <v>Low Target</v>
      </c>
      <c r="X58" t="str">
        <f t="shared" si="15"/>
        <v>Low Target</v>
      </c>
      <c r="Y58" t="s">
        <v>76</v>
      </c>
      <c r="Z58" t="str">
        <f t="shared" si="16"/>
        <v>ACCURATE REPORTS</v>
      </c>
      <c r="AA58" t="str">
        <f t="shared" si="17"/>
        <v>accurate reports</v>
      </c>
      <c r="AB58" t="str">
        <f t="shared" si="18"/>
        <v>Accurate Reports</v>
      </c>
    </row>
    <row r="59" spans="1:28">
      <c r="A59" t="s">
        <v>275</v>
      </c>
      <c r="B59" t="s">
        <v>276</v>
      </c>
      <c r="C59">
        <f t="shared" si="1"/>
        <v>11</v>
      </c>
      <c r="D59" t="s">
        <v>42</v>
      </c>
      <c r="E59" t="str">
        <f t="shared" si="0"/>
        <v>Vikram Iyer(E1058) - Finance</v>
      </c>
      <c r="F59" t="str">
        <f t="shared" si="2"/>
        <v>Finance</v>
      </c>
      <c r="G59">
        <f t="shared" si="3"/>
        <v>20</v>
      </c>
      <c r="H59" t="str">
        <f t="shared" si="4"/>
        <v xml:space="preserve">Vikram Iyer(E1058) </v>
      </c>
      <c r="I59" t="s">
        <v>20</v>
      </c>
      <c r="J59" t="str">
        <f t="shared" si="5"/>
        <v>Pune</v>
      </c>
      <c r="K59" t="s">
        <v>277</v>
      </c>
      <c r="L59" t="str">
        <f t="shared" si="6"/>
        <v>Monday</v>
      </c>
      <c r="M59" t="str">
        <f t="shared" si="7"/>
        <v>Mon</v>
      </c>
      <c r="N59" t="str">
        <f t="shared" si="8"/>
        <v>day</v>
      </c>
      <c r="O59">
        <f t="shared" si="9"/>
        <v>10</v>
      </c>
      <c r="P59">
        <f t="shared" si="10"/>
        <v>2021</v>
      </c>
      <c r="Q59" t="s">
        <v>278</v>
      </c>
      <c r="R59">
        <f t="shared" si="11"/>
        <v>8</v>
      </c>
      <c r="S59">
        <f t="shared" si="12"/>
        <v>14</v>
      </c>
      <c r="T59">
        <f t="shared" si="13"/>
        <v>24</v>
      </c>
      <c r="U59">
        <v>80492</v>
      </c>
      <c r="V59">
        <v>85478</v>
      </c>
      <c r="W59" t="str">
        <f t="shared" si="14"/>
        <v>High Target</v>
      </c>
      <c r="X59" t="str">
        <f t="shared" si="15"/>
        <v>High Target</v>
      </c>
      <c r="Y59" t="s">
        <v>23</v>
      </c>
      <c r="Z59" t="str">
        <f t="shared" si="16"/>
        <v>FAST DELIVERY</v>
      </c>
      <c r="AA59" t="str">
        <f t="shared" si="17"/>
        <v>fast delivery</v>
      </c>
      <c r="AB59" t="str">
        <f t="shared" si="18"/>
        <v>Fast Delivery</v>
      </c>
    </row>
    <row r="60" spans="1:28">
      <c r="A60" t="s">
        <v>279</v>
      </c>
      <c r="B60" t="s">
        <v>280</v>
      </c>
      <c r="C60">
        <f t="shared" si="1"/>
        <v>11</v>
      </c>
      <c r="D60" t="s">
        <v>27</v>
      </c>
      <c r="E60" t="str">
        <f t="shared" si="0"/>
        <v>Karan Verma(E1059) - Marketing</v>
      </c>
      <c r="F60" t="str">
        <f t="shared" si="2"/>
        <v>Marketing</v>
      </c>
      <c r="G60">
        <f t="shared" si="3"/>
        <v>20</v>
      </c>
      <c r="H60" t="str">
        <f t="shared" si="4"/>
        <v xml:space="preserve">Karan Verma(E1059) </v>
      </c>
      <c r="I60" t="s">
        <v>90</v>
      </c>
      <c r="J60" t="str">
        <f t="shared" si="5"/>
        <v>Kolk@ta</v>
      </c>
      <c r="K60" t="s">
        <v>281</v>
      </c>
      <c r="L60" t="str">
        <f t="shared" si="6"/>
        <v>Wednesday</v>
      </c>
      <c r="M60" t="str">
        <f t="shared" si="7"/>
        <v>Wed</v>
      </c>
      <c r="N60" t="str">
        <f t="shared" si="8"/>
        <v>day</v>
      </c>
      <c r="O60">
        <f t="shared" si="9"/>
        <v>11</v>
      </c>
      <c r="P60">
        <f t="shared" si="10"/>
        <v>2022</v>
      </c>
      <c r="Q60" t="s">
        <v>282</v>
      </c>
      <c r="R60">
        <f t="shared" si="11"/>
        <v>10</v>
      </c>
      <c r="S60">
        <f t="shared" si="12"/>
        <v>29</v>
      </c>
      <c r="T60">
        <f t="shared" si="13"/>
        <v>26</v>
      </c>
      <c r="U60">
        <v>42635</v>
      </c>
      <c r="V60">
        <v>44080</v>
      </c>
      <c r="W60" t="str">
        <f t="shared" si="14"/>
        <v>Low Target</v>
      </c>
      <c r="X60" t="str">
        <f t="shared" si="15"/>
        <v>Low Target</v>
      </c>
      <c r="Y60" t="s">
        <v>214</v>
      </c>
      <c r="Z60" t="str">
        <f t="shared" si="16"/>
        <v>POSITIVE ATTITUDE</v>
      </c>
      <c r="AA60" t="str">
        <f t="shared" si="17"/>
        <v>positive attitude</v>
      </c>
      <c r="AB60" t="str">
        <f t="shared" si="18"/>
        <v>Positive Attitude</v>
      </c>
    </row>
    <row r="61" spans="1:28">
      <c r="A61" t="s">
        <v>283</v>
      </c>
      <c r="B61" t="s">
        <v>284</v>
      </c>
      <c r="C61">
        <f t="shared" si="1"/>
        <v>12</v>
      </c>
      <c r="D61" t="s">
        <v>12</v>
      </c>
      <c r="E61" t="str">
        <f t="shared" si="0"/>
        <v>Nisha Bansal(E1060) - Sales</v>
      </c>
      <c r="F61" t="str">
        <f t="shared" si="2"/>
        <v>Sales</v>
      </c>
      <c r="G61">
        <f t="shared" si="3"/>
        <v>21</v>
      </c>
      <c r="H61" t="str">
        <f t="shared" si="4"/>
        <v xml:space="preserve">Nisha Bansal(E1060) </v>
      </c>
      <c r="I61" t="s">
        <v>90</v>
      </c>
      <c r="J61" t="str">
        <f t="shared" si="5"/>
        <v>Kolk@ta</v>
      </c>
      <c r="K61" t="s">
        <v>285</v>
      </c>
      <c r="L61" t="str">
        <f t="shared" si="6"/>
        <v>Monday</v>
      </c>
      <c r="M61" t="str">
        <f t="shared" si="7"/>
        <v>Mon</v>
      </c>
      <c r="N61" t="str">
        <f t="shared" si="8"/>
        <v>day</v>
      </c>
      <c r="O61">
        <f t="shared" si="9"/>
        <v>9</v>
      </c>
      <c r="P61">
        <f t="shared" si="10"/>
        <v>2023</v>
      </c>
      <c r="Q61" t="s">
        <v>286</v>
      </c>
      <c r="R61">
        <f t="shared" si="11"/>
        <v>8</v>
      </c>
      <c r="S61">
        <f t="shared" si="12"/>
        <v>22</v>
      </c>
      <c r="T61">
        <f t="shared" si="13"/>
        <v>19</v>
      </c>
      <c r="U61">
        <v>99937</v>
      </c>
      <c r="V61">
        <v>89379</v>
      </c>
      <c r="W61" t="str">
        <f t="shared" si="14"/>
        <v>High Target</v>
      </c>
      <c r="X61" t="str">
        <f t="shared" si="15"/>
        <v>High Target</v>
      </c>
      <c r="Y61" t="s">
        <v>214</v>
      </c>
      <c r="Z61" t="str">
        <f t="shared" si="16"/>
        <v>POSITIVE ATTITUDE</v>
      </c>
      <c r="AA61" t="str">
        <f t="shared" si="17"/>
        <v>positive attitude</v>
      </c>
      <c r="AB61" t="str">
        <f t="shared" si="18"/>
        <v>Positive Attitude</v>
      </c>
    </row>
    <row r="62" spans="1:28">
      <c r="A62" t="s">
        <v>287</v>
      </c>
      <c r="B62" t="s">
        <v>288</v>
      </c>
      <c r="C62">
        <f t="shared" si="1"/>
        <v>13</v>
      </c>
      <c r="D62" t="s">
        <v>54</v>
      </c>
      <c r="E62" t="str">
        <f t="shared" si="0"/>
        <v>Aditya Chopra(E1061) - HR</v>
      </c>
      <c r="F62" t="str">
        <f t="shared" si="2"/>
        <v>HR</v>
      </c>
      <c r="G62">
        <f t="shared" si="3"/>
        <v>22</v>
      </c>
      <c r="H62" t="str">
        <f t="shared" si="4"/>
        <v xml:space="preserve">Aditya Chopra(E1061) </v>
      </c>
      <c r="I62" t="s">
        <v>80</v>
      </c>
      <c r="J62" t="str">
        <f t="shared" si="5"/>
        <v>Ahmed@bad</v>
      </c>
      <c r="K62" t="s">
        <v>86</v>
      </c>
      <c r="L62" t="str">
        <f t="shared" si="6"/>
        <v>Saturday</v>
      </c>
      <c r="M62" t="str">
        <f t="shared" si="7"/>
        <v>Sat</v>
      </c>
      <c r="N62" t="str">
        <f t="shared" si="8"/>
        <v>day</v>
      </c>
      <c r="O62">
        <f t="shared" si="9"/>
        <v>3</v>
      </c>
      <c r="P62">
        <f t="shared" si="10"/>
        <v>2022</v>
      </c>
      <c r="Q62" t="s">
        <v>289</v>
      </c>
      <c r="R62">
        <f t="shared" si="11"/>
        <v>9</v>
      </c>
      <c r="S62">
        <f t="shared" si="12"/>
        <v>27</v>
      </c>
      <c r="T62">
        <f t="shared" si="13"/>
        <v>31</v>
      </c>
      <c r="U62">
        <v>52386</v>
      </c>
      <c r="V62">
        <v>41902</v>
      </c>
      <c r="W62" t="str">
        <f t="shared" si="14"/>
        <v>Low Target</v>
      </c>
      <c r="X62" t="str">
        <f t="shared" si="15"/>
        <v>Low Target</v>
      </c>
      <c r="Y62" t="s">
        <v>122</v>
      </c>
      <c r="Z62" t="str">
        <f t="shared" si="16"/>
        <v>CREATIVE IDEAS</v>
      </c>
      <c r="AA62" t="str">
        <f t="shared" si="17"/>
        <v>creative ideas</v>
      </c>
      <c r="AB62" t="str">
        <f t="shared" si="18"/>
        <v>Creative Ideas</v>
      </c>
    </row>
    <row r="63" spans="1:28">
      <c r="A63" t="s">
        <v>290</v>
      </c>
      <c r="B63" t="s">
        <v>291</v>
      </c>
      <c r="C63">
        <f t="shared" si="1"/>
        <v>12</v>
      </c>
      <c r="D63" t="s">
        <v>54</v>
      </c>
      <c r="E63" t="str">
        <f t="shared" si="0"/>
        <v>Nidhi Bansal(E1062) - HR</v>
      </c>
      <c r="F63" t="str">
        <f t="shared" si="2"/>
        <v>HR</v>
      </c>
      <c r="G63">
        <f t="shared" si="3"/>
        <v>21</v>
      </c>
      <c r="H63" t="str">
        <f t="shared" si="4"/>
        <v xml:space="preserve">Nidhi Bansal(E1062) </v>
      </c>
      <c r="I63" t="s">
        <v>80</v>
      </c>
      <c r="J63" t="str">
        <f t="shared" si="5"/>
        <v>Ahmed@bad</v>
      </c>
      <c r="K63" t="s">
        <v>292</v>
      </c>
      <c r="L63" t="str">
        <f t="shared" si="6"/>
        <v>Sunday</v>
      </c>
      <c r="M63" t="str">
        <f t="shared" si="7"/>
        <v>Sun</v>
      </c>
      <c r="N63" t="str">
        <f t="shared" si="8"/>
        <v>day</v>
      </c>
      <c r="O63">
        <f t="shared" si="9"/>
        <v>9</v>
      </c>
      <c r="P63">
        <f t="shared" si="10"/>
        <v>2021</v>
      </c>
      <c r="Q63" t="s">
        <v>293</v>
      </c>
      <c r="R63">
        <f t="shared" si="11"/>
        <v>10</v>
      </c>
      <c r="S63">
        <f t="shared" si="12"/>
        <v>34</v>
      </c>
      <c r="T63">
        <f t="shared" si="13"/>
        <v>1</v>
      </c>
      <c r="U63">
        <v>110258</v>
      </c>
      <c r="V63">
        <v>99436</v>
      </c>
      <c r="W63" t="str">
        <f t="shared" si="14"/>
        <v>High Target</v>
      </c>
      <c r="X63" t="str">
        <f t="shared" si="15"/>
        <v>High Target</v>
      </c>
      <c r="Y63" t="s">
        <v>16</v>
      </c>
      <c r="Z63" t="str">
        <f t="shared" si="16"/>
        <v>EXCELLENT LEADERSHIP</v>
      </c>
      <c r="AA63" t="str">
        <f t="shared" si="17"/>
        <v>excellent leadership</v>
      </c>
      <c r="AB63" t="str">
        <f t="shared" si="18"/>
        <v>Excellent Leadership</v>
      </c>
    </row>
    <row r="64" spans="1:28">
      <c r="A64" t="s">
        <v>294</v>
      </c>
      <c r="B64" t="s">
        <v>295</v>
      </c>
      <c r="C64">
        <f t="shared" si="1"/>
        <v>13</v>
      </c>
      <c r="D64" t="s">
        <v>12</v>
      </c>
      <c r="E64" t="str">
        <f t="shared" si="0"/>
        <v>Manish Sharma(E1063) - Sales</v>
      </c>
      <c r="F64" t="str">
        <f t="shared" si="2"/>
        <v>Sales</v>
      </c>
      <c r="G64">
        <f t="shared" si="3"/>
        <v>22</v>
      </c>
      <c r="H64" t="str">
        <f t="shared" si="4"/>
        <v xml:space="preserve">Manish Sharma(E1063) </v>
      </c>
      <c r="I64" t="s">
        <v>90</v>
      </c>
      <c r="J64" t="str">
        <f t="shared" si="5"/>
        <v>Kolk@ta</v>
      </c>
      <c r="K64" t="s">
        <v>296</v>
      </c>
      <c r="L64" t="str">
        <f t="shared" si="6"/>
        <v>Tuesday</v>
      </c>
      <c r="M64" t="str">
        <f t="shared" si="7"/>
        <v>Tue</v>
      </c>
      <c r="N64" t="str">
        <f t="shared" si="8"/>
        <v>day</v>
      </c>
      <c r="O64">
        <f t="shared" si="9"/>
        <v>10</v>
      </c>
      <c r="P64">
        <f t="shared" si="10"/>
        <v>2021</v>
      </c>
      <c r="Q64" t="s">
        <v>297</v>
      </c>
      <c r="R64">
        <f t="shared" si="11"/>
        <v>9</v>
      </c>
      <c r="S64">
        <f t="shared" si="12"/>
        <v>11</v>
      </c>
      <c r="T64">
        <f t="shared" si="13"/>
        <v>3</v>
      </c>
      <c r="U64">
        <v>66893</v>
      </c>
      <c r="V64">
        <v>57049</v>
      </c>
      <c r="W64" t="str">
        <f t="shared" si="14"/>
        <v>High Target</v>
      </c>
      <c r="X64" t="str">
        <f t="shared" si="15"/>
        <v>Low Target</v>
      </c>
      <c r="Y64" t="s">
        <v>122</v>
      </c>
      <c r="Z64" t="str">
        <f t="shared" si="16"/>
        <v>CREATIVE IDEAS</v>
      </c>
      <c r="AA64" t="str">
        <f t="shared" si="17"/>
        <v>creative ideas</v>
      </c>
      <c r="AB64" t="str">
        <f t="shared" si="18"/>
        <v>Creative Ideas</v>
      </c>
    </row>
    <row r="65" spans="1:28">
      <c r="A65" t="s">
        <v>298</v>
      </c>
      <c r="B65" t="s">
        <v>299</v>
      </c>
      <c r="C65">
        <f t="shared" si="1"/>
        <v>14</v>
      </c>
      <c r="D65" t="s">
        <v>42</v>
      </c>
      <c r="E65" t="str">
        <f t="shared" si="0"/>
        <v>Karan Malhotra(E1064) - Finance</v>
      </c>
      <c r="F65" t="str">
        <f t="shared" si="2"/>
        <v>Finance</v>
      </c>
      <c r="G65">
        <f t="shared" si="3"/>
        <v>23</v>
      </c>
      <c r="H65" t="str">
        <f t="shared" si="4"/>
        <v xml:space="preserve">Karan Malhotra(E1064) </v>
      </c>
      <c r="I65" t="s">
        <v>35</v>
      </c>
      <c r="J65" t="str">
        <f t="shared" si="5"/>
        <v>Hyder@bad</v>
      </c>
      <c r="K65" t="s">
        <v>300</v>
      </c>
      <c r="L65" t="str">
        <f t="shared" si="6"/>
        <v>Thursday</v>
      </c>
      <c r="M65" t="str">
        <f t="shared" si="7"/>
        <v>Thu</v>
      </c>
      <c r="N65" t="str">
        <f t="shared" si="8"/>
        <v>day</v>
      </c>
      <c r="O65">
        <f t="shared" si="9"/>
        <v>2</v>
      </c>
      <c r="P65">
        <f t="shared" si="10"/>
        <v>2023</v>
      </c>
      <c r="Q65" t="s">
        <v>301</v>
      </c>
      <c r="R65">
        <f t="shared" si="11"/>
        <v>9</v>
      </c>
      <c r="S65">
        <f t="shared" si="12"/>
        <v>48</v>
      </c>
      <c r="T65">
        <f t="shared" si="13"/>
        <v>53</v>
      </c>
      <c r="U65">
        <v>69159</v>
      </c>
      <c r="V65">
        <v>67627</v>
      </c>
      <c r="W65" t="str">
        <f t="shared" si="14"/>
        <v>High Target</v>
      </c>
      <c r="X65" t="str">
        <f t="shared" si="15"/>
        <v>Medium Target</v>
      </c>
      <c r="Y65" t="s">
        <v>214</v>
      </c>
      <c r="Z65" t="str">
        <f t="shared" si="16"/>
        <v>POSITIVE ATTITUDE</v>
      </c>
      <c r="AA65" t="str">
        <f t="shared" si="17"/>
        <v>positive attitude</v>
      </c>
      <c r="AB65" t="str">
        <f t="shared" si="18"/>
        <v>Positive Attitude</v>
      </c>
    </row>
    <row r="66" spans="1:28">
      <c r="A66" t="s">
        <v>302</v>
      </c>
      <c r="B66" t="s">
        <v>303</v>
      </c>
      <c r="C66">
        <f t="shared" si="1"/>
        <v>13</v>
      </c>
      <c r="D66" t="s">
        <v>12</v>
      </c>
      <c r="E66" t="str">
        <f t="shared" ref="E66:E129" si="21">_xlfn.CONCAT(B66,"(",A66,")"," - ",D66)</f>
        <v>Rahul Agarwal(E1065) - Sales</v>
      </c>
      <c r="F66" t="str">
        <f t="shared" si="2"/>
        <v>Sales</v>
      </c>
      <c r="G66">
        <f t="shared" si="3"/>
        <v>22</v>
      </c>
      <c r="H66" t="str">
        <f t="shared" si="4"/>
        <v xml:space="preserve">Rahul Agarwal(E1065) </v>
      </c>
      <c r="I66" t="s">
        <v>73</v>
      </c>
      <c r="J66" t="str">
        <f t="shared" si="5"/>
        <v>Mumb@i</v>
      </c>
      <c r="K66" t="s">
        <v>304</v>
      </c>
      <c r="L66" t="str">
        <f t="shared" si="6"/>
        <v>Sunday</v>
      </c>
      <c r="M66" t="str">
        <f t="shared" si="7"/>
        <v>Sun</v>
      </c>
      <c r="N66" t="str">
        <f t="shared" si="8"/>
        <v>day</v>
      </c>
      <c r="O66">
        <f t="shared" si="9"/>
        <v>12</v>
      </c>
      <c r="P66">
        <f t="shared" si="10"/>
        <v>2022</v>
      </c>
      <c r="Q66" t="s">
        <v>305</v>
      </c>
      <c r="R66">
        <f t="shared" si="11"/>
        <v>8</v>
      </c>
      <c r="S66">
        <f t="shared" si="12"/>
        <v>41</v>
      </c>
      <c r="T66">
        <f t="shared" si="13"/>
        <v>4</v>
      </c>
      <c r="U66">
        <v>78836</v>
      </c>
      <c r="V66">
        <v>91198</v>
      </c>
      <c r="W66" t="str">
        <f t="shared" si="14"/>
        <v>High Target</v>
      </c>
      <c r="X66" t="str">
        <f t="shared" si="15"/>
        <v>High Target</v>
      </c>
      <c r="Y66" t="s">
        <v>31</v>
      </c>
      <c r="Z66" t="str">
        <f t="shared" si="16"/>
        <v>CUSTOMER FOCUSED</v>
      </c>
      <c r="AA66" t="str">
        <f t="shared" si="17"/>
        <v>customer focused</v>
      </c>
      <c r="AB66" t="str">
        <f t="shared" si="18"/>
        <v>Customer Focused</v>
      </c>
    </row>
    <row r="67" spans="1:28">
      <c r="A67" t="s">
        <v>306</v>
      </c>
      <c r="B67" t="s">
        <v>307</v>
      </c>
      <c r="C67">
        <f t="shared" ref="C67:C130" si="22">LEN(B67)</f>
        <v>9</v>
      </c>
      <c r="D67" t="s">
        <v>54</v>
      </c>
      <c r="E67" t="str">
        <f t="shared" si="21"/>
        <v>Amit Nair(E1066) - HR</v>
      </c>
      <c r="F67" t="str">
        <f t="shared" ref="F67:F130" si="23">RIGHT(E67,LEN(E67)-FIND("- ",E67)-1)</f>
        <v>HR</v>
      </c>
      <c r="G67">
        <f t="shared" ref="G67:G130" si="24">FIND("-",E67)</f>
        <v>18</v>
      </c>
      <c r="H67" t="str">
        <f t="shared" ref="H67:H130" si="25">LEFT(E67,FIND("-",E67)-1)</f>
        <v xml:space="preserve">Amit Nair(E1066) </v>
      </c>
      <c r="I67" t="s">
        <v>73</v>
      </c>
      <c r="J67" t="str">
        <f t="shared" ref="J67:J130" si="26">SUBSTITUTE(I67,"a","@",1)</f>
        <v>Mumb@i</v>
      </c>
      <c r="K67" t="s">
        <v>308</v>
      </c>
      <c r="L67" t="str">
        <f t="shared" ref="L67:L130" si="27">TEXT(K67,"dddd")</f>
        <v>Wednesday</v>
      </c>
      <c r="M67" t="str">
        <f t="shared" ref="M67:M130" si="28">LEFT(L67,3)</f>
        <v>Wed</v>
      </c>
      <c r="N67" t="str">
        <f t="shared" ref="N67:N130" si="29">RIGHT(L67,3)</f>
        <v>day</v>
      </c>
      <c r="O67">
        <f t="shared" ref="O67:O130" si="30">MONTH(K67)</f>
        <v>6</v>
      </c>
      <c r="P67">
        <f t="shared" ref="P67:P130" si="31">YEAR(K67)</f>
        <v>2024</v>
      </c>
      <c r="Q67" t="s">
        <v>309</v>
      </c>
      <c r="R67">
        <f t="shared" ref="R67:R130" si="32">HOUR(Q67)</f>
        <v>8</v>
      </c>
      <c r="S67">
        <f t="shared" ref="S67:S130" si="33">MINUTE(Q67)</f>
        <v>15</v>
      </c>
      <c r="T67">
        <f t="shared" ref="T67:T130" si="34">SECOND(Q67)</f>
        <v>8</v>
      </c>
      <c r="U67">
        <v>63531</v>
      </c>
      <c r="V67">
        <v>71035</v>
      </c>
      <c r="W67" t="str">
        <f t="shared" ref="W67:W130" si="35">IF(V67&gt;50000,"High Target","Low Target")</f>
        <v>High Target</v>
      </c>
      <c r="X67" t="str">
        <f t="shared" ref="X67:X130" si="36">_xlfn.IFS(V67&lt;60000,"Low Target",V67&lt;80000,"Medium Target",V67&gt;80000,"High Target")</f>
        <v>Medium Target</v>
      </c>
      <c r="Y67" t="s">
        <v>16</v>
      </c>
      <c r="Z67" t="str">
        <f t="shared" ref="Z67:Z130" si="37">UPPER(Y67)</f>
        <v>EXCELLENT LEADERSHIP</v>
      </c>
      <c r="AA67" t="str">
        <f t="shared" ref="AA67:AA130" si="38">LOWER(Y67)</f>
        <v>excellent leadership</v>
      </c>
      <c r="AB67" t="str">
        <f t="shared" ref="AB67:AB130" si="39">PROPER(Y67)</f>
        <v>Excellent Leadership</v>
      </c>
    </row>
    <row r="68" spans="1:28">
      <c r="A68" t="s">
        <v>310</v>
      </c>
      <c r="B68" t="s">
        <v>299</v>
      </c>
      <c r="C68">
        <f t="shared" si="22"/>
        <v>14</v>
      </c>
      <c r="D68" t="s">
        <v>42</v>
      </c>
      <c r="E68" t="str">
        <f t="shared" si="21"/>
        <v>Karan Malhotra(E1067) - Finance</v>
      </c>
      <c r="F68" t="str">
        <f t="shared" si="23"/>
        <v>Finance</v>
      </c>
      <c r="G68">
        <f t="shared" si="24"/>
        <v>23</v>
      </c>
      <c r="H68" t="str">
        <f t="shared" si="25"/>
        <v xml:space="preserve">Karan Malhotra(E1067) </v>
      </c>
      <c r="I68" t="s">
        <v>35</v>
      </c>
      <c r="J68" t="str">
        <f t="shared" si="26"/>
        <v>Hyder@bad</v>
      </c>
      <c r="K68" t="s">
        <v>311</v>
      </c>
      <c r="L68" t="str">
        <f t="shared" si="27"/>
        <v>Friday</v>
      </c>
      <c r="M68" t="str">
        <f t="shared" si="28"/>
        <v>Fri</v>
      </c>
      <c r="N68" t="str">
        <f t="shared" si="29"/>
        <v>day</v>
      </c>
      <c r="O68">
        <f t="shared" si="30"/>
        <v>12</v>
      </c>
      <c r="P68">
        <f t="shared" si="31"/>
        <v>2021</v>
      </c>
      <c r="Q68" t="s">
        <v>312</v>
      </c>
      <c r="R68">
        <f t="shared" si="32"/>
        <v>10</v>
      </c>
      <c r="S68">
        <f t="shared" si="33"/>
        <v>38</v>
      </c>
      <c r="T68">
        <f t="shared" si="34"/>
        <v>47</v>
      </c>
      <c r="U68">
        <v>79584</v>
      </c>
      <c r="V68">
        <v>87078</v>
      </c>
      <c r="W68" t="str">
        <f t="shared" si="35"/>
        <v>High Target</v>
      </c>
      <c r="X68" t="str">
        <f t="shared" si="36"/>
        <v>High Target</v>
      </c>
      <c r="Y68" t="s">
        <v>31</v>
      </c>
      <c r="Z68" t="str">
        <f t="shared" si="37"/>
        <v>CUSTOMER FOCUSED</v>
      </c>
      <c r="AA68" t="str">
        <f t="shared" si="38"/>
        <v>customer focused</v>
      </c>
      <c r="AB68" t="str">
        <f t="shared" si="39"/>
        <v>Customer Focused</v>
      </c>
    </row>
    <row r="69" spans="1:28">
      <c r="A69" t="s">
        <v>313</v>
      </c>
      <c r="B69" t="s">
        <v>314</v>
      </c>
      <c r="C69">
        <f t="shared" si="22"/>
        <v>11</v>
      </c>
      <c r="D69" t="s">
        <v>42</v>
      </c>
      <c r="E69" t="str">
        <f t="shared" si="21"/>
        <v>Varun Joshi(E1068) - Finance</v>
      </c>
      <c r="F69" t="str">
        <f t="shared" si="23"/>
        <v>Finance</v>
      </c>
      <c r="G69">
        <f t="shared" si="24"/>
        <v>20</v>
      </c>
      <c r="H69" t="str">
        <f t="shared" si="25"/>
        <v xml:space="preserve">Varun Joshi(E1068) </v>
      </c>
      <c r="I69" t="s">
        <v>20</v>
      </c>
      <c r="J69" t="str">
        <f t="shared" si="26"/>
        <v>Pune</v>
      </c>
      <c r="K69" t="s">
        <v>315</v>
      </c>
      <c r="L69" t="str">
        <f t="shared" si="27"/>
        <v>Sunday</v>
      </c>
      <c r="M69" t="str">
        <f t="shared" si="28"/>
        <v>Sun</v>
      </c>
      <c r="N69" t="str">
        <f t="shared" si="29"/>
        <v>day</v>
      </c>
      <c r="O69">
        <f t="shared" si="30"/>
        <v>3</v>
      </c>
      <c r="P69">
        <f t="shared" si="31"/>
        <v>2024</v>
      </c>
      <c r="Q69" t="s">
        <v>316</v>
      </c>
      <c r="R69">
        <f t="shared" si="32"/>
        <v>8</v>
      </c>
      <c r="S69">
        <f t="shared" si="33"/>
        <v>59</v>
      </c>
      <c r="T69">
        <f t="shared" si="34"/>
        <v>19</v>
      </c>
      <c r="U69">
        <v>87331</v>
      </c>
      <c r="V69">
        <v>77735</v>
      </c>
      <c r="W69" t="str">
        <f t="shared" si="35"/>
        <v>High Target</v>
      </c>
      <c r="X69" t="str">
        <f t="shared" si="36"/>
        <v>Medium Target</v>
      </c>
      <c r="Y69" t="s">
        <v>169</v>
      </c>
      <c r="Z69" t="str">
        <f t="shared" si="37"/>
        <v>DETAILED ANALYSIS</v>
      </c>
      <c r="AA69" t="str">
        <f t="shared" si="38"/>
        <v>detailed analysis</v>
      </c>
      <c r="AB69" t="str">
        <f t="shared" si="39"/>
        <v>Detailed Analysis</v>
      </c>
    </row>
    <row r="70" spans="1:28">
      <c r="A70" t="s">
        <v>317</v>
      </c>
      <c r="B70" t="s">
        <v>318</v>
      </c>
      <c r="C70">
        <f t="shared" si="22"/>
        <v>15</v>
      </c>
      <c r="D70" t="s">
        <v>12</v>
      </c>
      <c r="E70" t="str">
        <f t="shared" si="21"/>
        <v>Siddharth Mehta(E1069) - Sales</v>
      </c>
      <c r="F70" t="str">
        <f t="shared" si="23"/>
        <v>Sales</v>
      </c>
      <c r="G70">
        <f t="shared" si="24"/>
        <v>24</v>
      </c>
      <c r="H70" t="str">
        <f t="shared" si="25"/>
        <v xml:space="preserve">Siddharth Mehta(E1069) </v>
      </c>
      <c r="I70" t="s">
        <v>28</v>
      </c>
      <c r="J70" t="str">
        <f t="shared" si="26"/>
        <v>B@ngalore</v>
      </c>
      <c r="K70" t="s">
        <v>319</v>
      </c>
      <c r="L70" t="str">
        <f t="shared" si="27"/>
        <v>Wednesday</v>
      </c>
      <c r="M70" t="str">
        <f t="shared" si="28"/>
        <v>Wed</v>
      </c>
      <c r="N70" t="str">
        <f t="shared" si="29"/>
        <v>day</v>
      </c>
      <c r="O70">
        <f t="shared" si="30"/>
        <v>7</v>
      </c>
      <c r="P70">
        <f t="shared" si="31"/>
        <v>2021</v>
      </c>
      <c r="Q70" t="s">
        <v>320</v>
      </c>
      <c r="R70">
        <f t="shared" si="32"/>
        <v>10</v>
      </c>
      <c r="S70">
        <f t="shared" si="33"/>
        <v>49</v>
      </c>
      <c r="T70">
        <f t="shared" si="34"/>
        <v>19</v>
      </c>
      <c r="U70">
        <v>88657</v>
      </c>
      <c r="V70">
        <v>95724</v>
      </c>
      <c r="W70" t="str">
        <f t="shared" si="35"/>
        <v>High Target</v>
      </c>
      <c r="X70" t="str">
        <f t="shared" si="36"/>
        <v>High Target</v>
      </c>
      <c r="Y70" t="s">
        <v>31</v>
      </c>
      <c r="Z70" t="str">
        <f t="shared" si="37"/>
        <v>CUSTOMER FOCUSED</v>
      </c>
      <c r="AA70" t="str">
        <f t="shared" si="38"/>
        <v>customer focused</v>
      </c>
      <c r="AB70" t="str">
        <f t="shared" si="39"/>
        <v>Customer Focused</v>
      </c>
    </row>
    <row r="71" spans="1:28">
      <c r="A71" t="s">
        <v>321</v>
      </c>
      <c r="B71" t="s">
        <v>322</v>
      </c>
      <c r="C71">
        <f t="shared" si="22"/>
        <v>12</v>
      </c>
      <c r="D71" t="s">
        <v>42</v>
      </c>
      <c r="E71" t="str">
        <f t="shared" si="21"/>
        <v>Manish Patel(E1070) - Finance</v>
      </c>
      <c r="F71" t="str">
        <f t="shared" si="23"/>
        <v>Finance</v>
      </c>
      <c r="G71">
        <f t="shared" si="24"/>
        <v>21</v>
      </c>
      <c r="H71" t="str">
        <f t="shared" si="25"/>
        <v xml:space="preserve">Manish Patel(E1070) </v>
      </c>
      <c r="I71" t="s">
        <v>90</v>
      </c>
      <c r="J71" t="str">
        <f t="shared" si="26"/>
        <v>Kolk@ta</v>
      </c>
      <c r="K71" t="s">
        <v>323</v>
      </c>
      <c r="L71" t="str">
        <f t="shared" si="27"/>
        <v>Monday</v>
      </c>
      <c r="M71" t="str">
        <f t="shared" si="28"/>
        <v>Mon</v>
      </c>
      <c r="N71" t="str">
        <f t="shared" si="29"/>
        <v>day</v>
      </c>
      <c r="O71">
        <f t="shared" si="30"/>
        <v>9</v>
      </c>
      <c r="P71">
        <f t="shared" si="31"/>
        <v>2024</v>
      </c>
      <c r="Q71" t="s">
        <v>324</v>
      </c>
      <c r="R71">
        <f t="shared" si="32"/>
        <v>9</v>
      </c>
      <c r="S71">
        <f t="shared" si="33"/>
        <v>4</v>
      </c>
      <c r="T71">
        <f t="shared" si="34"/>
        <v>32</v>
      </c>
      <c r="U71">
        <v>89799</v>
      </c>
      <c r="V71">
        <v>82437</v>
      </c>
      <c r="W71" t="str">
        <f t="shared" si="35"/>
        <v>High Target</v>
      </c>
      <c r="X71" t="str">
        <f t="shared" si="36"/>
        <v>High Target</v>
      </c>
      <c r="Y71" t="s">
        <v>160</v>
      </c>
      <c r="Z71" t="str">
        <f t="shared" si="37"/>
        <v>EXCELLENT SERVICE</v>
      </c>
      <c r="AA71" t="str">
        <f t="shared" si="38"/>
        <v>excellent service</v>
      </c>
      <c r="AB71" t="str">
        <f t="shared" si="39"/>
        <v>Excellent Service</v>
      </c>
    </row>
    <row r="72" spans="1:28">
      <c r="A72" t="s">
        <v>325</v>
      </c>
      <c r="B72" t="s">
        <v>326</v>
      </c>
      <c r="C72">
        <f t="shared" si="22"/>
        <v>11</v>
      </c>
      <c r="D72" t="s">
        <v>27</v>
      </c>
      <c r="E72" t="str">
        <f t="shared" si="21"/>
        <v>Isha Chopra(E1071) - Marketing</v>
      </c>
      <c r="F72" t="str">
        <f t="shared" si="23"/>
        <v>Marketing</v>
      </c>
      <c r="G72">
        <f t="shared" si="24"/>
        <v>20</v>
      </c>
      <c r="H72" t="str">
        <f t="shared" si="25"/>
        <v xml:space="preserve">Isha Chopra(E1071) </v>
      </c>
      <c r="I72" t="s">
        <v>20</v>
      </c>
      <c r="J72" t="str">
        <f t="shared" si="26"/>
        <v>Pune</v>
      </c>
      <c r="K72" t="s">
        <v>327</v>
      </c>
      <c r="L72" t="str">
        <f t="shared" si="27"/>
        <v>Wednesday</v>
      </c>
      <c r="M72" t="str">
        <f t="shared" si="28"/>
        <v>Wed</v>
      </c>
      <c r="N72" t="str">
        <f t="shared" si="29"/>
        <v>day</v>
      </c>
      <c r="O72">
        <f t="shared" si="30"/>
        <v>6</v>
      </c>
      <c r="P72">
        <f t="shared" si="31"/>
        <v>2023</v>
      </c>
      <c r="Q72" t="s">
        <v>328</v>
      </c>
      <c r="R72">
        <f t="shared" si="32"/>
        <v>9</v>
      </c>
      <c r="S72">
        <f t="shared" si="33"/>
        <v>40</v>
      </c>
      <c r="T72">
        <f t="shared" si="34"/>
        <v>57</v>
      </c>
      <c r="U72">
        <v>109439</v>
      </c>
      <c r="V72">
        <v>94310</v>
      </c>
      <c r="W72" t="str">
        <f t="shared" si="35"/>
        <v>High Target</v>
      </c>
      <c r="X72" t="str">
        <f t="shared" si="36"/>
        <v>High Target</v>
      </c>
      <c r="Y72" t="s">
        <v>23</v>
      </c>
      <c r="Z72" t="str">
        <f t="shared" si="37"/>
        <v>FAST DELIVERY</v>
      </c>
      <c r="AA72" t="str">
        <f t="shared" si="38"/>
        <v>fast delivery</v>
      </c>
      <c r="AB72" t="str">
        <f t="shared" si="39"/>
        <v>Fast Delivery</v>
      </c>
    </row>
    <row r="73" spans="1:28">
      <c r="A73" t="s">
        <v>329</v>
      </c>
      <c r="B73" t="s">
        <v>330</v>
      </c>
      <c r="C73">
        <f t="shared" si="22"/>
        <v>12</v>
      </c>
      <c r="D73" t="s">
        <v>54</v>
      </c>
      <c r="E73" t="str">
        <f t="shared" si="21"/>
        <v>Arjun Chopra(E1072) - HR</v>
      </c>
      <c r="F73" t="str">
        <f t="shared" si="23"/>
        <v>HR</v>
      </c>
      <c r="G73">
        <f t="shared" si="24"/>
        <v>21</v>
      </c>
      <c r="H73" t="str">
        <f t="shared" si="25"/>
        <v xml:space="preserve">Arjun Chopra(E1072) </v>
      </c>
      <c r="I73" t="s">
        <v>13</v>
      </c>
      <c r="J73" t="str">
        <f t="shared" si="26"/>
        <v>Chenn@i</v>
      </c>
      <c r="K73" t="s">
        <v>331</v>
      </c>
      <c r="L73" t="str">
        <f t="shared" si="27"/>
        <v>Saturday</v>
      </c>
      <c r="M73" t="str">
        <f t="shared" si="28"/>
        <v>Sat</v>
      </c>
      <c r="N73" t="str">
        <f t="shared" si="29"/>
        <v>day</v>
      </c>
      <c r="O73">
        <f t="shared" si="30"/>
        <v>6</v>
      </c>
      <c r="P73">
        <f t="shared" si="31"/>
        <v>2024</v>
      </c>
      <c r="Q73" t="s">
        <v>332</v>
      </c>
      <c r="R73">
        <f t="shared" si="32"/>
        <v>10</v>
      </c>
      <c r="S73">
        <f t="shared" si="33"/>
        <v>49</v>
      </c>
      <c r="T73">
        <f t="shared" si="34"/>
        <v>30</v>
      </c>
      <c r="U73">
        <v>84010</v>
      </c>
      <c r="V73">
        <v>70465</v>
      </c>
      <c r="W73" t="str">
        <f t="shared" si="35"/>
        <v>High Target</v>
      </c>
      <c r="X73" t="str">
        <f t="shared" si="36"/>
        <v>Medium Target</v>
      </c>
      <c r="Y73" t="s">
        <v>214</v>
      </c>
      <c r="Z73" t="str">
        <f t="shared" si="37"/>
        <v>POSITIVE ATTITUDE</v>
      </c>
      <c r="AA73" t="str">
        <f t="shared" si="38"/>
        <v>positive attitude</v>
      </c>
      <c r="AB73" t="str">
        <f t="shared" si="39"/>
        <v>Positive Attitude</v>
      </c>
    </row>
    <row r="74" spans="1:28">
      <c r="A74" t="s">
        <v>333</v>
      </c>
      <c r="B74" t="s">
        <v>334</v>
      </c>
      <c r="C74">
        <f t="shared" si="22"/>
        <v>12</v>
      </c>
      <c r="D74" t="s">
        <v>42</v>
      </c>
      <c r="E74" t="str">
        <f t="shared" si="21"/>
        <v>Komal Mishra(E1073) - Finance</v>
      </c>
      <c r="F74" t="str">
        <f t="shared" si="23"/>
        <v>Finance</v>
      </c>
      <c r="G74">
        <f t="shared" si="24"/>
        <v>21</v>
      </c>
      <c r="H74" t="str">
        <f t="shared" si="25"/>
        <v xml:space="preserve">Komal Mishra(E1073) </v>
      </c>
      <c r="I74" t="s">
        <v>35</v>
      </c>
      <c r="J74" t="str">
        <f t="shared" si="26"/>
        <v>Hyder@bad</v>
      </c>
      <c r="K74" t="s">
        <v>335</v>
      </c>
      <c r="L74" t="str">
        <f t="shared" si="27"/>
        <v>Wednesday</v>
      </c>
      <c r="M74" t="str">
        <f t="shared" si="28"/>
        <v>Wed</v>
      </c>
      <c r="N74" t="str">
        <f t="shared" si="29"/>
        <v>day</v>
      </c>
      <c r="O74">
        <f t="shared" si="30"/>
        <v>5</v>
      </c>
      <c r="P74">
        <f t="shared" si="31"/>
        <v>2022</v>
      </c>
      <c r="Q74" t="s">
        <v>336</v>
      </c>
      <c r="R74">
        <f t="shared" si="32"/>
        <v>8</v>
      </c>
      <c r="S74">
        <f t="shared" si="33"/>
        <v>17</v>
      </c>
      <c r="T74">
        <f t="shared" si="34"/>
        <v>56</v>
      </c>
      <c r="U74">
        <v>70524</v>
      </c>
      <c r="V74">
        <v>69543</v>
      </c>
      <c r="W74" t="str">
        <f t="shared" si="35"/>
        <v>High Target</v>
      </c>
      <c r="X74" t="str">
        <f t="shared" si="36"/>
        <v>Medium Target</v>
      </c>
      <c r="Y74" t="s">
        <v>31</v>
      </c>
      <c r="Z74" t="str">
        <f t="shared" si="37"/>
        <v>CUSTOMER FOCUSED</v>
      </c>
      <c r="AA74" t="str">
        <f t="shared" si="38"/>
        <v>customer focused</v>
      </c>
      <c r="AB74" t="str">
        <f t="shared" si="39"/>
        <v>Customer Focused</v>
      </c>
    </row>
    <row r="75" spans="1:28">
      <c r="A75" t="s">
        <v>337</v>
      </c>
      <c r="B75" t="s">
        <v>338</v>
      </c>
      <c r="C75">
        <f t="shared" si="22"/>
        <v>13</v>
      </c>
      <c r="D75" t="s">
        <v>27</v>
      </c>
      <c r="E75" t="str">
        <f t="shared" si="21"/>
        <v>Deepak Mishra(E1074) - Marketing</v>
      </c>
      <c r="F75" t="str">
        <f t="shared" si="23"/>
        <v>Marketing</v>
      </c>
      <c r="G75">
        <f t="shared" si="24"/>
        <v>22</v>
      </c>
      <c r="H75" t="str">
        <f t="shared" si="25"/>
        <v xml:space="preserve">Deepak Mishra(E1074) </v>
      </c>
      <c r="I75" t="s">
        <v>35</v>
      </c>
      <c r="J75" t="str">
        <f t="shared" si="26"/>
        <v>Hyder@bad</v>
      </c>
      <c r="K75" t="s">
        <v>339</v>
      </c>
      <c r="L75" t="str">
        <f t="shared" si="27"/>
        <v>Sunday</v>
      </c>
      <c r="M75" t="str">
        <f t="shared" si="28"/>
        <v>Sun</v>
      </c>
      <c r="N75" t="str">
        <f t="shared" si="29"/>
        <v>day</v>
      </c>
      <c r="O75">
        <f t="shared" si="30"/>
        <v>2</v>
      </c>
      <c r="P75">
        <f t="shared" si="31"/>
        <v>2021</v>
      </c>
      <c r="Q75" t="s">
        <v>340</v>
      </c>
      <c r="R75">
        <f t="shared" si="32"/>
        <v>9</v>
      </c>
      <c r="S75">
        <f t="shared" si="33"/>
        <v>54</v>
      </c>
      <c r="T75">
        <f t="shared" si="34"/>
        <v>20</v>
      </c>
      <c r="U75">
        <v>68869</v>
      </c>
      <c r="V75">
        <v>51917</v>
      </c>
      <c r="W75" t="str">
        <f t="shared" si="35"/>
        <v>High Target</v>
      </c>
      <c r="X75" t="str">
        <f t="shared" si="36"/>
        <v>Low Target</v>
      </c>
      <c r="Y75" t="s">
        <v>76</v>
      </c>
      <c r="Z75" t="str">
        <f t="shared" si="37"/>
        <v>ACCURATE REPORTS</v>
      </c>
      <c r="AA75" t="str">
        <f t="shared" si="38"/>
        <v>accurate reports</v>
      </c>
      <c r="AB75" t="str">
        <f t="shared" si="39"/>
        <v>Accurate Reports</v>
      </c>
    </row>
    <row r="76" spans="1:28">
      <c r="A76" t="s">
        <v>341</v>
      </c>
      <c r="B76" t="s">
        <v>342</v>
      </c>
      <c r="C76">
        <f t="shared" si="22"/>
        <v>10</v>
      </c>
      <c r="D76" t="s">
        <v>42</v>
      </c>
      <c r="E76" t="str">
        <f t="shared" si="21"/>
        <v>Meera Shah(E1075) - Finance</v>
      </c>
      <c r="F76" t="str">
        <f t="shared" si="23"/>
        <v>Finance</v>
      </c>
      <c r="G76">
        <f t="shared" si="24"/>
        <v>19</v>
      </c>
      <c r="H76" t="str">
        <f t="shared" si="25"/>
        <v xml:space="preserve">Meera Shah(E1075) </v>
      </c>
      <c r="I76" t="s">
        <v>13</v>
      </c>
      <c r="J76" t="str">
        <f t="shared" si="26"/>
        <v>Chenn@i</v>
      </c>
      <c r="K76" t="s">
        <v>343</v>
      </c>
      <c r="L76" t="str">
        <f t="shared" si="27"/>
        <v>Sunday</v>
      </c>
      <c r="M76" t="str">
        <f t="shared" si="28"/>
        <v>Sun</v>
      </c>
      <c r="N76" t="str">
        <f t="shared" si="29"/>
        <v>day</v>
      </c>
      <c r="O76">
        <f t="shared" si="30"/>
        <v>5</v>
      </c>
      <c r="P76">
        <f t="shared" si="31"/>
        <v>2024</v>
      </c>
      <c r="Q76" t="s">
        <v>344</v>
      </c>
      <c r="R76">
        <f t="shared" si="32"/>
        <v>10</v>
      </c>
      <c r="S76">
        <f t="shared" si="33"/>
        <v>56</v>
      </c>
      <c r="T76">
        <f t="shared" si="34"/>
        <v>17</v>
      </c>
      <c r="U76">
        <v>62089</v>
      </c>
      <c r="V76">
        <v>76424</v>
      </c>
      <c r="W76" t="str">
        <f t="shared" si="35"/>
        <v>High Target</v>
      </c>
      <c r="X76" t="str">
        <f t="shared" si="36"/>
        <v>Medium Target</v>
      </c>
      <c r="Y76" t="s">
        <v>45</v>
      </c>
      <c r="Z76" t="str">
        <f t="shared" si="37"/>
        <v>STRONG PRESENTATION</v>
      </c>
      <c r="AA76" t="str">
        <f t="shared" si="38"/>
        <v>strong presentation</v>
      </c>
      <c r="AB76" t="str">
        <f t="shared" si="39"/>
        <v>Strong Presentation</v>
      </c>
    </row>
    <row r="77" spans="1:28">
      <c r="A77" t="s">
        <v>345</v>
      </c>
      <c r="B77" t="s">
        <v>280</v>
      </c>
      <c r="C77">
        <f t="shared" si="22"/>
        <v>11</v>
      </c>
      <c r="D77" t="s">
        <v>54</v>
      </c>
      <c r="E77" t="str">
        <f t="shared" si="21"/>
        <v>Karan Verma(E1076) - HR</v>
      </c>
      <c r="F77" t="str">
        <f t="shared" si="23"/>
        <v>HR</v>
      </c>
      <c r="G77">
        <f t="shared" si="24"/>
        <v>20</v>
      </c>
      <c r="H77" t="str">
        <f t="shared" si="25"/>
        <v xml:space="preserve">Karan Verma(E1076) </v>
      </c>
      <c r="I77" t="s">
        <v>90</v>
      </c>
      <c r="J77" t="str">
        <f t="shared" si="26"/>
        <v>Kolk@ta</v>
      </c>
      <c r="K77" t="s">
        <v>107</v>
      </c>
      <c r="L77" t="str">
        <f t="shared" si="27"/>
        <v>Thursday</v>
      </c>
      <c r="M77" t="str">
        <f t="shared" si="28"/>
        <v>Thu</v>
      </c>
      <c r="N77" t="str">
        <f t="shared" si="29"/>
        <v>day</v>
      </c>
      <c r="O77">
        <f t="shared" si="30"/>
        <v>9</v>
      </c>
      <c r="P77">
        <f t="shared" si="31"/>
        <v>2023</v>
      </c>
      <c r="Q77" t="s">
        <v>346</v>
      </c>
      <c r="R77">
        <f t="shared" si="32"/>
        <v>10</v>
      </c>
      <c r="S77">
        <f t="shared" si="33"/>
        <v>48</v>
      </c>
      <c r="T77">
        <f t="shared" si="34"/>
        <v>15</v>
      </c>
      <c r="U77">
        <v>101460</v>
      </c>
      <c r="V77">
        <v>85259</v>
      </c>
      <c r="W77" t="str">
        <f t="shared" si="35"/>
        <v>High Target</v>
      </c>
      <c r="X77" t="str">
        <f t="shared" si="36"/>
        <v>High Target</v>
      </c>
      <c r="Y77" t="s">
        <v>69</v>
      </c>
      <c r="Z77" t="str">
        <f t="shared" si="37"/>
        <v>GOOD TEAMWORK</v>
      </c>
      <c r="AA77" t="str">
        <f t="shared" si="38"/>
        <v>good teamwork</v>
      </c>
      <c r="AB77" t="str">
        <f t="shared" si="39"/>
        <v>Good Teamwork</v>
      </c>
    </row>
    <row r="78" spans="1:28">
      <c r="A78" t="s">
        <v>347</v>
      </c>
      <c r="B78" t="s">
        <v>348</v>
      </c>
      <c r="C78">
        <f t="shared" si="22"/>
        <v>17</v>
      </c>
      <c r="D78" t="s">
        <v>27</v>
      </c>
      <c r="E78" t="str">
        <f t="shared" si="21"/>
        <v>Siddharth Agarwal(E1077) - Marketing</v>
      </c>
      <c r="F78" t="str">
        <f t="shared" si="23"/>
        <v>Marketing</v>
      </c>
      <c r="G78">
        <f t="shared" si="24"/>
        <v>26</v>
      </c>
      <c r="H78" t="str">
        <f t="shared" si="25"/>
        <v xml:space="preserve">Siddharth Agarwal(E1077) </v>
      </c>
      <c r="I78" t="s">
        <v>73</v>
      </c>
      <c r="J78" t="str">
        <f t="shared" si="26"/>
        <v>Mumb@i</v>
      </c>
      <c r="K78" t="s">
        <v>349</v>
      </c>
      <c r="L78" t="str">
        <f t="shared" si="27"/>
        <v>Saturday</v>
      </c>
      <c r="M78" t="str">
        <f t="shared" si="28"/>
        <v>Sat</v>
      </c>
      <c r="N78" t="str">
        <f t="shared" si="29"/>
        <v>day</v>
      </c>
      <c r="O78">
        <f t="shared" si="30"/>
        <v>7</v>
      </c>
      <c r="P78">
        <f t="shared" si="31"/>
        <v>2021</v>
      </c>
      <c r="Q78" t="s">
        <v>350</v>
      </c>
      <c r="R78">
        <f t="shared" si="32"/>
        <v>9</v>
      </c>
      <c r="S78">
        <f t="shared" si="33"/>
        <v>14</v>
      </c>
      <c r="T78">
        <f t="shared" si="34"/>
        <v>25</v>
      </c>
      <c r="U78">
        <v>86281</v>
      </c>
      <c r="V78">
        <v>85336</v>
      </c>
      <c r="W78" t="str">
        <f t="shared" si="35"/>
        <v>High Target</v>
      </c>
      <c r="X78" t="str">
        <f t="shared" si="36"/>
        <v>High Target</v>
      </c>
      <c r="Y78" t="s">
        <v>143</v>
      </c>
      <c r="Z78" t="str">
        <f t="shared" si="37"/>
        <v>NEEDS IMPROVEMENT</v>
      </c>
      <c r="AA78" t="str">
        <f t="shared" si="38"/>
        <v>needs improvement</v>
      </c>
      <c r="AB78" t="str">
        <f t="shared" si="39"/>
        <v>Needs Improvement</v>
      </c>
    </row>
    <row r="79" spans="1:28">
      <c r="A79" t="s">
        <v>351</v>
      </c>
      <c r="B79" t="s">
        <v>171</v>
      </c>
      <c r="C79">
        <f t="shared" si="22"/>
        <v>12</v>
      </c>
      <c r="D79" t="s">
        <v>42</v>
      </c>
      <c r="E79" t="str">
        <f t="shared" si="21"/>
        <v>Nidhi Mishra(E1078) - Finance</v>
      </c>
      <c r="F79" t="str">
        <f t="shared" si="23"/>
        <v>Finance</v>
      </c>
      <c r="G79">
        <f t="shared" si="24"/>
        <v>21</v>
      </c>
      <c r="H79" t="str">
        <f t="shared" si="25"/>
        <v xml:space="preserve">Nidhi Mishra(E1078) </v>
      </c>
      <c r="I79" t="s">
        <v>80</v>
      </c>
      <c r="J79" t="str">
        <f t="shared" si="26"/>
        <v>Ahmed@bad</v>
      </c>
      <c r="K79" t="s">
        <v>188</v>
      </c>
      <c r="L79" t="str">
        <f t="shared" si="27"/>
        <v>Thursday</v>
      </c>
      <c r="M79" t="str">
        <f t="shared" si="28"/>
        <v>Thu</v>
      </c>
      <c r="N79" t="str">
        <f t="shared" si="29"/>
        <v>day</v>
      </c>
      <c r="O79">
        <f t="shared" si="30"/>
        <v>2</v>
      </c>
      <c r="P79">
        <f t="shared" si="31"/>
        <v>2024</v>
      </c>
      <c r="Q79" t="s">
        <v>352</v>
      </c>
      <c r="R79">
        <f t="shared" si="32"/>
        <v>10</v>
      </c>
      <c r="S79">
        <f t="shared" si="33"/>
        <v>22</v>
      </c>
      <c r="T79">
        <f t="shared" si="34"/>
        <v>27</v>
      </c>
      <c r="U79">
        <v>95563</v>
      </c>
      <c r="V79">
        <v>88885</v>
      </c>
      <c r="W79" t="str">
        <f t="shared" si="35"/>
        <v>High Target</v>
      </c>
      <c r="X79" t="str">
        <f t="shared" si="36"/>
        <v>High Target</v>
      </c>
      <c r="Y79" t="s">
        <v>122</v>
      </c>
      <c r="Z79" t="str">
        <f t="shared" si="37"/>
        <v>CREATIVE IDEAS</v>
      </c>
      <c r="AA79" t="str">
        <f t="shared" si="38"/>
        <v>creative ideas</v>
      </c>
      <c r="AB79" t="str">
        <f t="shared" si="39"/>
        <v>Creative Ideas</v>
      </c>
    </row>
    <row r="80" spans="1:28">
      <c r="A80" t="s">
        <v>353</v>
      </c>
      <c r="B80" t="s">
        <v>354</v>
      </c>
      <c r="C80">
        <f t="shared" si="22"/>
        <v>18</v>
      </c>
      <c r="D80" t="s">
        <v>42</v>
      </c>
      <c r="E80" t="str">
        <f t="shared" si="21"/>
        <v>Siddharth Malhotra(E1079) - Finance</v>
      </c>
      <c r="F80" t="str">
        <f t="shared" si="23"/>
        <v>Finance</v>
      </c>
      <c r="G80">
        <f t="shared" si="24"/>
        <v>27</v>
      </c>
      <c r="H80" t="str">
        <f t="shared" si="25"/>
        <v xml:space="preserve">Siddharth Malhotra(E1079) </v>
      </c>
      <c r="I80" t="s">
        <v>13</v>
      </c>
      <c r="J80" t="str">
        <f t="shared" si="26"/>
        <v>Chenn@i</v>
      </c>
      <c r="K80" t="s">
        <v>192</v>
      </c>
      <c r="L80" t="str">
        <f t="shared" si="27"/>
        <v>Monday</v>
      </c>
      <c r="M80" t="str">
        <f t="shared" si="28"/>
        <v>Mon</v>
      </c>
      <c r="N80" t="str">
        <f t="shared" si="29"/>
        <v>day</v>
      </c>
      <c r="O80">
        <f t="shared" si="30"/>
        <v>5</v>
      </c>
      <c r="P80">
        <f t="shared" si="31"/>
        <v>2022</v>
      </c>
      <c r="Q80" t="s">
        <v>355</v>
      </c>
      <c r="R80">
        <f t="shared" si="32"/>
        <v>8</v>
      </c>
      <c r="S80">
        <f t="shared" si="33"/>
        <v>7</v>
      </c>
      <c r="T80">
        <f t="shared" si="34"/>
        <v>46</v>
      </c>
      <c r="U80">
        <v>58300</v>
      </c>
      <c r="V80">
        <v>52621</v>
      </c>
      <c r="W80" t="str">
        <f t="shared" si="35"/>
        <v>High Target</v>
      </c>
      <c r="X80" t="str">
        <f t="shared" si="36"/>
        <v>Low Target</v>
      </c>
      <c r="Y80" t="s">
        <v>38</v>
      </c>
      <c r="Z80" t="str">
        <f t="shared" si="37"/>
        <v>GOOD COMMUNICATION</v>
      </c>
      <c r="AA80" t="str">
        <f t="shared" si="38"/>
        <v>good communication</v>
      </c>
      <c r="AB80" t="str">
        <f t="shared" si="39"/>
        <v>Good Communication</v>
      </c>
    </row>
    <row r="81" spans="1:28">
      <c r="A81" t="s">
        <v>356</v>
      </c>
      <c r="B81" t="s">
        <v>357</v>
      </c>
      <c r="C81">
        <f t="shared" si="22"/>
        <v>11</v>
      </c>
      <c r="D81" t="s">
        <v>54</v>
      </c>
      <c r="E81" t="str">
        <f t="shared" si="21"/>
        <v>Komal Goyal(E1080) - HR</v>
      </c>
      <c r="F81" t="str">
        <f t="shared" si="23"/>
        <v>HR</v>
      </c>
      <c r="G81">
        <f t="shared" si="24"/>
        <v>20</v>
      </c>
      <c r="H81" t="str">
        <f t="shared" si="25"/>
        <v xml:space="preserve">Komal Goyal(E1080) </v>
      </c>
      <c r="I81" t="s">
        <v>28</v>
      </c>
      <c r="J81" t="str">
        <f t="shared" si="26"/>
        <v>B@ngalore</v>
      </c>
      <c r="K81" t="s">
        <v>358</v>
      </c>
      <c r="L81" t="str">
        <f t="shared" si="27"/>
        <v>Sunday</v>
      </c>
      <c r="M81" t="str">
        <f t="shared" si="28"/>
        <v>Sun</v>
      </c>
      <c r="N81" t="str">
        <f t="shared" si="29"/>
        <v>day</v>
      </c>
      <c r="O81">
        <f t="shared" si="30"/>
        <v>3</v>
      </c>
      <c r="P81">
        <f t="shared" si="31"/>
        <v>2022</v>
      </c>
      <c r="Q81" t="s">
        <v>359</v>
      </c>
      <c r="R81">
        <f t="shared" si="32"/>
        <v>10</v>
      </c>
      <c r="S81">
        <f t="shared" si="33"/>
        <v>30</v>
      </c>
      <c r="T81">
        <f t="shared" si="34"/>
        <v>17</v>
      </c>
      <c r="U81">
        <v>106868</v>
      </c>
      <c r="V81">
        <v>87486</v>
      </c>
      <c r="W81" t="str">
        <f t="shared" si="35"/>
        <v>High Target</v>
      </c>
      <c r="X81" t="str">
        <f t="shared" si="36"/>
        <v>High Target</v>
      </c>
      <c r="Y81" t="s">
        <v>16</v>
      </c>
      <c r="Z81" t="str">
        <f t="shared" si="37"/>
        <v>EXCELLENT LEADERSHIP</v>
      </c>
      <c r="AA81" t="str">
        <f t="shared" si="38"/>
        <v>excellent leadership</v>
      </c>
      <c r="AB81" t="str">
        <f t="shared" si="39"/>
        <v>Excellent Leadership</v>
      </c>
    </row>
    <row r="82" spans="1:28">
      <c r="A82" t="s">
        <v>360</v>
      </c>
      <c r="B82" t="s">
        <v>361</v>
      </c>
      <c r="C82">
        <f t="shared" si="22"/>
        <v>12</v>
      </c>
      <c r="D82" t="s">
        <v>54</v>
      </c>
      <c r="E82" t="str">
        <f t="shared" si="21"/>
        <v>Anjali Singh(E1081) - HR</v>
      </c>
      <c r="F82" t="str">
        <f t="shared" si="23"/>
        <v>HR</v>
      </c>
      <c r="G82">
        <f t="shared" si="24"/>
        <v>21</v>
      </c>
      <c r="H82" t="str">
        <f t="shared" si="25"/>
        <v xml:space="preserve">Anjali Singh(E1081) </v>
      </c>
      <c r="I82" t="s">
        <v>13</v>
      </c>
      <c r="J82" t="str">
        <f t="shared" si="26"/>
        <v>Chenn@i</v>
      </c>
      <c r="K82" t="s">
        <v>362</v>
      </c>
      <c r="L82" t="str">
        <f t="shared" si="27"/>
        <v>Monday</v>
      </c>
      <c r="M82" t="str">
        <f t="shared" si="28"/>
        <v>Mon</v>
      </c>
      <c r="N82" t="str">
        <f t="shared" si="29"/>
        <v>day</v>
      </c>
      <c r="O82">
        <f t="shared" si="30"/>
        <v>4</v>
      </c>
      <c r="P82">
        <f t="shared" si="31"/>
        <v>2022</v>
      </c>
      <c r="Q82" t="s">
        <v>363</v>
      </c>
      <c r="R82">
        <f t="shared" si="32"/>
        <v>9</v>
      </c>
      <c r="S82">
        <f t="shared" si="33"/>
        <v>11</v>
      </c>
      <c r="T82">
        <f t="shared" si="34"/>
        <v>19</v>
      </c>
      <c r="U82">
        <v>34222</v>
      </c>
      <c r="V82">
        <v>40927</v>
      </c>
      <c r="W82" t="str">
        <f t="shared" si="35"/>
        <v>Low Target</v>
      </c>
      <c r="X82" t="str">
        <f t="shared" si="36"/>
        <v>Low Target</v>
      </c>
      <c r="Y82" t="s">
        <v>143</v>
      </c>
      <c r="Z82" t="str">
        <f t="shared" si="37"/>
        <v>NEEDS IMPROVEMENT</v>
      </c>
      <c r="AA82" t="str">
        <f t="shared" si="38"/>
        <v>needs improvement</v>
      </c>
      <c r="AB82" t="str">
        <f t="shared" si="39"/>
        <v>Needs Improvement</v>
      </c>
    </row>
    <row r="83" spans="1:28">
      <c r="A83" t="s">
        <v>364</v>
      </c>
      <c r="B83" t="s">
        <v>365</v>
      </c>
      <c r="C83">
        <f t="shared" si="22"/>
        <v>11</v>
      </c>
      <c r="D83" t="s">
        <v>42</v>
      </c>
      <c r="E83" t="str">
        <f t="shared" si="21"/>
        <v>Priya Patel(E1082) - Finance</v>
      </c>
      <c r="F83" t="str">
        <f t="shared" si="23"/>
        <v>Finance</v>
      </c>
      <c r="G83">
        <f t="shared" si="24"/>
        <v>20</v>
      </c>
      <c r="H83" t="str">
        <f t="shared" si="25"/>
        <v xml:space="preserve">Priya Patel(E1082) </v>
      </c>
      <c r="I83" t="s">
        <v>66</v>
      </c>
      <c r="J83" t="str">
        <f t="shared" si="26"/>
        <v>Delhi</v>
      </c>
      <c r="K83" t="s">
        <v>366</v>
      </c>
      <c r="L83" t="str">
        <f t="shared" si="27"/>
        <v>Tuesday</v>
      </c>
      <c r="M83" t="str">
        <f t="shared" si="28"/>
        <v>Tue</v>
      </c>
      <c r="N83" t="str">
        <f t="shared" si="29"/>
        <v>day</v>
      </c>
      <c r="O83">
        <f t="shared" si="30"/>
        <v>7</v>
      </c>
      <c r="P83">
        <f t="shared" si="31"/>
        <v>2024</v>
      </c>
      <c r="Q83" t="s">
        <v>367</v>
      </c>
      <c r="R83">
        <f t="shared" si="32"/>
        <v>9</v>
      </c>
      <c r="S83">
        <f t="shared" si="33"/>
        <v>6</v>
      </c>
      <c r="T83">
        <f t="shared" si="34"/>
        <v>55</v>
      </c>
      <c r="U83">
        <v>44437</v>
      </c>
      <c r="V83">
        <v>40803</v>
      </c>
      <c r="W83" t="str">
        <f t="shared" si="35"/>
        <v>Low Target</v>
      </c>
      <c r="X83" t="str">
        <f t="shared" si="36"/>
        <v>Low Target</v>
      </c>
      <c r="Y83" t="s">
        <v>57</v>
      </c>
      <c r="Z83" t="str">
        <f t="shared" si="37"/>
        <v>HELPFUL ATTITUDE</v>
      </c>
      <c r="AA83" t="str">
        <f t="shared" si="38"/>
        <v>helpful attitude</v>
      </c>
      <c r="AB83" t="str">
        <f t="shared" si="39"/>
        <v>Helpful Attitude</v>
      </c>
    </row>
    <row r="84" spans="1:28">
      <c r="A84" t="s">
        <v>368</v>
      </c>
      <c r="B84" t="s">
        <v>369</v>
      </c>
      <c r="C84">
        <f t="shared" si="22"/>
        <v>15</v>
      </c>
      <c r="D84" t="s">
        <v>42</v>
      </c>
      <c r="E84" t="str">
        <f t="shared" si="21"/>
        <v>Kavita Malhotra(E1083) - Finance</v>
      </c>
      <c r="F84" t="str">
        <f t="shared" si="23"/>
        <v>Finance</v>
      </c>
      <c r="G84">
        <f t="shared" si="24"/>
        <v>24</v>
      </c>
      <c r="H84" t="str">
        <f t="shared" si="25"/>
        <v xml:space="preserve">Kavita Malhotra(E1083) </v>
      </c>
      <c r="I84" t="s">
        <v>66</v>
      </c>
      <c r="J84" t="str">
        <f t="shared" si="26"/>
        <v>Delhi</v>
      </c>
      <c r="K84" t="s">
        <v>370</v>
      </c>
      <c r="L84" t="str">
        <f t="shared" si="27"/>
        <v>Friday</v>
      </c>
      <c r="M84" t="str">
        <f t="shared" si="28"/>
        <v>Fri</v>
      </c>
      <c r="N84" t="str">
        <f t="shared" si="29"/>
        <v>day</v>
      </c>
      <c r="O84">
        <f t="shared" si="30"/>
        <v>4</v>
      </c>
      <c r="P84">
        <f t="shared" si="31"/>
        <v>2021</v>
      </c>
      <c r="Q84" t="s">
        <v>371</v>
      </c>
      <c r="R84">
        <f t="shared" si="32"/>
        <v>9</v>
      </c>
      <c r="S84">
        <f t="shared" si="33"/>
        <v>55</v>
      </c>
      <c r="T84">
        <f t="shared" si="34"/>
        <v>30</v>
      </c>
      <c r="U84">
        <v>36758</v>
      </c>
      <c r="V84">
        <v>47476</v>
      </c>
      <c r="W84" t="str">
        <f t="shared" si="35"/>
        <v>Low Target</v>
      </c>
      <c r="X84" t="str">
        <f t="shared" si="36"/>
        <v>Low Target</v>
      </c>
      <c r="Y84" t="s">
        <v>169</v>
      </c>
      <c r="Z84" t="str">
        <f t="shared" si="37"/>
        <v>DETAILED ANALYSIS</v>
      </c>
      <c r="AA84" t="str">
        <f t="shared" si="38"/>
        <v>detailed analysis</v>
      </c>
      <c r="AB84" t="str">
        <f t="shared" si="39"/>
        <v>Detailed Analysis</v>
      </c>
    </row>
    <row r="85" spans="1:28">
      <c r="A85" t="s">
        <v>372</v>
      </c>
      <c r="B85" t="s">
        <v>373</v>
      </c>
      <c r="C85">
        <f t="shared" si="22"/>
        <v>12</v>
      </c>
      <c r="D85" t="s">
        <v>12</v>
      </c>
      <c r="E85" t="str">
        <f t="shared" si="21"/>
        <v>Kavita Verma(E1084) - Sales</v>
      </c>
      <c r="F85" t="str">
        <f t="shared" si="23"/>
        <v>Sales</v>
      </c>
      <c r="G85">
        <f t="shared" si="24"/>
        <v>21</v>
      </c>
      <c r="H85" t="str">
        <f t="shared" si="25"/>
        <v xml:space="preserve">Kavita Verma(E1084) </v>
      </c>
      <c r="I85" t="s">
        <v>66</v>
      </c>
      <c r="J85" t="str">
        <f t="shared" si="26"/>
        <v>Delhi</v>
      </c>
      <c r="K85" t="s">
        <v>374</v>
      </c>
      <c r="L85" t="str">
        <f t="shared" si="27"/>
        <v>Tuesday</v>
      </c>
      <c r="M85" t="str">
        <f t="shared" si="28"/>
        <v>Tue</v>
      </c>
      <c r="N85" t="str">
        <f t="shared" si="29"/>
        <v>day</v>
      </c>
      <c r="O85">
        <f t="shared" si="30"/>
        <v>11</v>
      </c>
      <c r="P85">
        <f t="shared" si="31"/>
        <v>2021</v>
      </c>
      <c r="Q85" t="s">
        <v>375</v>
      </c>
      <c r="R85">
        <f t="shared" si="32"/>
        <v>10</v>
      </c>
      <c r="S85">
        <f t="shared" si="33"/>
        <v>19</v>
      </c>
      <c r="T85">
        <f t="shared" si="34"/>
        <v>5</v>
      </c>
      <c r="U85">
        <v>49027</v>
      </c>
      <c r="V85">
        <v>56265</v>
      </c>
      <c r="W85" t="str">
        <f t="shared" si="35"/>
        <v>High Target</v>
      </c>
      <c r="X85" t="str">
        <f t="shared" si="36"/>
        <v>Low Target</v>
      </c>
      <c r="Y85" t="s">
        <v>45</v>
      </c>
      <c r="Z85" t="str">
        <f t="shared" si="37"/>
        <v>STRONG PRESENTATION</v>
      </c>
      <c r="AA85" t="str">
        <f t="shared" si="38"/>
        <v>strong presentation</v>
      </c>
      <c r="AB85" t="str">
        <f t="shared" si="39"/>
        <v>Strong Presentation</v>
      </c>
    </row>
    <row r="86" spans="1:28">
      <c r="A86" t="s">
        <v>376</v>
      </c>
      <c r="B86" t="s">
        <v>377</v>
      </c>
      <c r="C86">
        <f t="shared" si="22"/>
        <v>12</v>
      </c>
      <c r="D86" t="s">
        <v>54</v>
      </c>
      <c r="E86" t="str">
        <f t="shared" si="21"/>
        <v>Harsh Chopra(E1085) - HR</v>
      </c>
      <c r="F86" t="str">
        <f t="shared" si="23"/>
        <v>HR</v>
      </c>
      <c r="G86">
        <f t="shared" si="24"/>
        <v>21</v>
      </c>
      <c r="H86" t="str">
        <f t="shared" si="25"/>
        <v xml:space="preserve">Harsh Chopra(E1085) </v>
      </c>
      <c r="I86" t="s">
        <v>90</v>
      </c>
      <c r="J86" t="str">
        <f t="shared" si="26"/>
        <v>Kolk@ta</v>
      </c>
      <c r="K86" t="s">
        <v>378</v>
      </c>
      <c r="L86" t="str">
        <f t="shared" si="27"/>
        <v>Wednesday</v>
      </c>
      <c r="M86" t="str">
        <f t="shared" si="28"/>
        <v>Wed</v>
      </c>
      <c r="N86" t="str">
        <f t="shared" si="29"/>
        <v>day</v>
      </c>
      <c r="O86">
        <f t="shared" si="30"/>
        <v>7</v>
      </c>
      <c r="P86">
        <f t="shared" si="31"/>
        <v>2023</v>
      </c>
      <c r="Q86" t="s">
        <v>379</v>
      </c>
      <c r="R86">
        <f t="shared" si="32"/>
        <v>9</v>
      </c>
      <c r="S86">
        <f t="shared" si="33"/>
        <v>19</v>
      </c>
      <c r="T86">
        <f t="shared" si="34"/>
        <v>55</v>
      </c>
      <c r="U86">
        <v>91672</v>
      </c>
      <c r="V86">
        <v>78569</v>
      </c>
      <c r="W86" t="str">
        <f t="shared" si="35"/>
        <v>High Target</v>
      </c>
      <c r="X86" t="str">
        <f t="shared" si="36"/>
        <v>Medium Target</v>
      </c>
      <c r="Y86" t="s">
        <v>143</v>
      </c>
      <c r="Z86" t="str">
        <f t="shared" si="37"/>
        <v>NEEDS IMPROVEMENT</v>
      </c>
      <c r="AA86" t="str">
        <f t="shared" si="38"/>
        <v>needs improvement</v>
      </c>
      <c r="AB86" t="str">
        <f t="shared" si="39"/>
        <v>Needs Improvement</v>
      </c>
    </row>
    <row r="87" spans="1:28">
      <c r="A87" t="s">
        <v>380</v>
      </c>
      <c r="B87" t="s">
        <v>381</v>
      </c>
      <c r="C87">
        <f t="shared" si="22"/>
        <v>11</v>
      </c>
      <c r="D87" t="s">
        <v>12</v>
      </c>
      <c r="E87" t="str">
        <f t="shared" si="21"/>
        <v>Manish Jain(E1086) - Sales</v>
      </c>
      <c r="F87" t="str">
        <f t="shared" si="23"/>
        <v>Sales</v>
      </c>
      <c r="G87">
        <f t="shared" si="24"/>
        <v>20</v>
      </c>
      <c r="H87" t="str">
        <f t="shared" si="25"/>
        <v xml:space="preserve">Manish Jain(E1086) </v>
      </c>
      <c r="I87" t="s">
        <v>20</v>
      </c>
      <c r="J87" t="str">
        <f t="shared" si="26"/>
        <v>Pune</v>
      </c>
      <c r="K87" t="s">
        <v>382</v>
      </c>
      <c r="L87" t="str">
        <f t="shared" si="27"/>
        <v>Wednesday</v>
      </c>
      <c r="M87" t="str">
        <f t="shared" si="28"/>
        <v>Wed</v>
      </c>
      <c r="N87" t="str">
        <f t="shared" si="29"/>
        <v>day</v>
      </c>
      <c r="O87">
        <f t="shared" si="30"/>
        <v>3</v>
      </c>
      <c r="P87">
        <f t="shared" si="31"/>
        <v>2022</v>
      </c>
      <c r="Q87" t="s">
        <v>383</v>
      </c>
      <c r="R87">
        <f t="shared" si="32"/>
        <v>10</v>
      </c>
      <c r="S87">
        <f t="shared" si="33"/>
        <v>13</v>
      </c>
      <c r="T87">
        <f t="shared" si="34"/>
        <v>16</v>
      </c>
      <c r="U87">
        <v>73601</v>
      </c>
      <c r="V87">
        <v>83281</v>
      </c>
      <c r="W87" t="str">
        <f t="shared" si="35"/>
        <v>High Target</v>
      </c>
      <c r="X87" t="str">
        <f t="shared" si="36"/>
        <v>High Target</v>
      </c>
      <c r="Y87" t="s">
        <v>113</v>
      </c>
      <c r="Z87" t="str">
        <f t="shared" si="37"/>
        <v>QUICK RESPONSE</v>
      </c>
      <c r="AA87" t="str">
        <f t="shared" si="38"/>
        <v>quick response</v>
      </c>
      <c r="AB87" t="str">
        <f t="shared" si="39"/>
        <v>Quick Response</v>
      </c>
    </row>
    <row r="88" spans="1:28">
      <c r="A88" t="s">
        <v>384</v>
      </c>
      <c r="B88" t="s">
        <v>385</v>
      </c>
      <c r="C88">
        <f t="shared" si="22"/>
        <v>11</v>
      </c>
      <c r="D88" t="s">
        <v>12</v>
      </c>
      <c r="E88" t="str">
        <f t="shared" si="21"/>
        <v>Pooja Joshi(E1087) - Sales</v>
      </c>
      <c r="F88" t="str">
        <f t="shared" si="23"/>
        <v>Sales</v>
      </c>
      <c r="G88">
        <f t="shared" si="24"/>
        <v>20</v>
      </c>
      <c r="H88" t="str">
        <f t="shared" si="25"/>
        <v xml:space="preserve">Pooja Joshi(E1087) </v>
      </c>
      <c r="I88" t="s">
        <v>66</v>
      </c>
      <c r="J88" t="str">
        <f t="shared" si="26"/>
        <v>Delhi</v>
      </c>
      <c r="K88" t="s">
        <v>386</v>
      </c>
      <c r="L88" t="str">
        <f t="shared" si="27"/>
        <v>Wednesday</v>
      </c>
      <c r="M88" t="str">
        <f t="shared" si="28"/>
        <v>Wed</v>
      </c>
      <c r="N88" t="str">
        <f t="shared" si="29"/>
        <v>day</v>
      </c>
      <c r="O88">
        <f t="shared" si="30"/>
        <v>1</v>
      </c>
      <c r="P88">
        <f t="shared" si="31"/>
        <v>2021</v>
      </c>
      <c r="Q88" t="s">
        <v>387</v>
      </c>
      <c r="R88">
        <f t="shared" si="32"/>
        <v>9</v>
      </c>
      <c r="S88">
        <f t="shared" si="33"/>
        <v>28</v>
      </c>
      <c r="T88">
        <f t="shared" si="34"/>
        <v>44</v>
      </c>
      <c r="U88">
        <v>94712</v>
      </c>
      <c r="V88">
        <v>78916</v>
      </c>
      <c r="W88" t="str">
        <f t="shared" si="35"/>
        <v>High Target</v>
      </c>
      <c r="X88" t="str">
        <f t="shared" si="36"/>
        <v>Medium Target</v>
      </c>
      <c r="Y88" t="s">
        <v>143</v>
      </c>
      <c r="Z88" t="str">
        <f t="shared" si="37"/>
        <v>NEEDS IMPROVEMENT</v>
      </c>
      <c r="AA88" t="str">
        <f t="shared" si="38"/>
        <v>needs improvement</v>
      </c>
      <c r="AB88" t="str">
        <f t="shared" si="39"/>
        <v>Needs Improvement</v>
      </c>
    </row>
    <row r="89" spans="1:28">
      <c r="A89" t="s">
        <v>388</v>
      </c>
      <c r="B89" t="s">
        <v>110</v>
      </c>
      <c r="C89">
        <f t="shared" si="22"/>
        <v>10</v>
      </c>
      <c r="D89" t="s">
        <v>42</v>
      </c>
      <c r="E89" t="str">
        <f t="shared" si="21"/>
        <v>Priya Nair(E1088) - Finance</v>
      </c>
      <c r="F89" t="str">
        <f t="shared" si="23"/>
        <v>Finance</v>
      </c>
      <c r="G89">
        <f t="shared" si="24"/>
        <v>19</v>
      </c>
      <c r="H89" t="str">
        <f t="shared" si="25"/>
        <v xml:space="preserve">Priya Nair(E1088) </v>
      </c>
      <c r="I89" t="s">
        <v>13</v>
      </c>
      <c r="J89" t="str">
        <f t="shared" si="26"/>
        <v>Chenn@i</v>
      </c>
      <c r="K89" t="s">
        <v>389</v>
      </c>
      <c r="L89" t="str">
        <f t="shared" si="27"/>
        <v>Tuesday</v>
      </c>
      <c r="M89" t="str">
        <f t="shared" si="28"/>
        <v>Tue</v>
      </c>
      <c r="N89" t="str">
        <f t="shared" si="29"/>
        <v>day</v>
      </c>
      <c r="O89">
        <f t="shared" si="30"/>
        <v>12</v>
      </c>
      <c r="P89">
        <f t="shared" si="31"/>
        <v>2024</v>
      </c>
      <c r="Q89" t="s">
        <v>390</v>
      </c>
      <c r="R89">
        <f t="shared" si="32"/>
        <v>9</v>
      </c>
      <c r="S89">
        <f t="shared" si="33"/>
        <v>4</v>
      </c>
      <c r="T89">
        <f t="shared" si="34"/>
        <v>43</v>
      </c>
      <c r="U89">
        <v>57634</v>
      </c>
      <c r="V89">
        <v>55297</v>
      </c>
      <c r="W89" t="str">
        <f t="shared" si="35"/>
        <v>High Target</v>
      </c>
      <c r="X89" t="str">
        <f t="shared" si="36"/>
        <v>Low Target</v>
      </c>
      <c r="Y89" t="s">
        <v>31</v>
      </c>
      <c r="Z89" t="str">
        <f t="shared" si="37"/>
        <v>CUSTOMER FOCUSED</v>
      </c>
      <c r="AA89" t="str">
        <f t="shared" si="38"/>
        <v>customer focused</v>
      </c>
      <c r="AB89" t="str">
        <f t="shared" si="39"/>
        <v>Customer Focused</v>
      </c>
    </row>
    <row r="90" spans="1:28">
      <c r="A90" t="s">
        <v>391</v>
      </c>
      <c r="B90" t="s">
        <v>392</v>
      </c>
      <c r="C90">
        <f t="shared" si="22"/>
        <v>12</v>
      </c>
      <c r="D90" t="s">
        <v>54</v>
      </c>
      <c r="E90" t="str">
        <f t="shared" si="21"/>
        <v>Tanya Mishra(E1089) - HR</v>
      </c>
      <c r="F90" t="str">
        <f t="shared" si="23"/>
        <v>HR</v>
      </c>
      <c r="G90">
        <f t="shared" si="24"/>
        <v>21</v>
      </c>
      <c r="H90" t="str">
        <f t="shared" si="25"/>
        <v xml:space="preserve">Tanya Mishra(E1089) </v>
      </c>
      <c r="I90" t="s">
        <v>90</v>
      </c>
      <c r="J90" t="str">
        <f t="shared" si="26"/>
        <v>Kolk@ta</v>
      </c>
      <c r="K90" t="s">
        <v>393</v>
      </c>
      <c r="L90" t="str">
        <f t="shared" si="27"/>
        <v>Tuesday</v>
      </c>
      <c r="M90" t="str">
        <f t="shared" si="28"/>
        <v>Tue</v>
      </c>
      <c r="N90" t="str">
        <f t="shared" si="29"/>
        <v>day</v>
      </c>
      <c r="O90">
        <f t="shared" si="30"/>
        <v>8</v>
      </c>
      <c r="P90">
        <f t="shared" si="31"/>
        <v>2021</v>
      </c>
      <c r="Q90" t="s">
        <v>394</v>
      </c>
      <c r="R90">
        <f t="shared" si="32"/>
        <v>10</v>
      </c>
      <c r="S90">
        <f t="shared" si="33"/>
        <v>14</v>
      </c>
      <c r="T90">
        <f t="shared" si="34"/>
        <v>41</v>
      </c>
      <c r="U90">
        <v>52172</v>
      </c>
      <c r="V90">
        <v>49764</v>
      </c>
      <c r="W90" t="str">
        <f t="shared" si="35"/>
        <v>Low Target</v>
      </c>
      <c r="X90" t="str">
        <f t="shared" si="36"/>
        <v>Low Target</v>
      </c>
      <c r="Y90" t="s">
        <v>214</v>
      </c>
      <c r="Z90" t="str">
        <f t="shared" si="37"/>
        <v>POSITIVE ATTITUDE</v>
      </c>
      <c r="AA90" t="str">
        <f t="shared" si="38"/>
        <v>positive attitude</v>
      </c>
      <c r="AB90" t="str">
        <f t="shared" si="39"/>
        <v>Positive Attitude</v>
      </c>
    </row>
    <row r="91" spans="1:28">
      <c r="A91" t="s">
        <v>395</v>
      </c>
      <c r="B91" t="s">
        <v>396</v>
      </c>
      <c r="C91">
        <f t="shared" si="22"/>
        <v>11</v>
      </c>
      <c r="D91" t="s">
        <v>12</v>
      </c>
      <c r="E91" t="str">
        <f t="shared" si="21"/>
        <v>Arjun Verma(E1090) - Sales</v>
      </c>
      <c r="F91" t="str">
        <f t="shared" si="23"/>
        <v>Sales</v>
      </c>
      <c r="G91">
        <f t="shared" si="24"/>
        <v>20</v>
      </c>
      <c r="H91" t="str">
        <f t="shared" si="25"/>
        <v xml:space="preserve">Arjun Verma(E1090) </v>
      </c>
      <c r="I91" t="s">
        <v>66</v>
      </c>
      <c r="J91" t="str">
        <f t="shared" si="26"/>
        <v>Delhi</v>
      </c>
      <c r="K91" t="s">
        <v>397</v>
      </c>
      <c r="L91" t="str">
        <f t="shared" si="27"/>
        <v>Thursday</v>
      </c>
      <c r="M91" t="str">
        <f t="shared" si="28"/>
        <v>Thu</v>
      </c>
      <c r="N91" t="str">
        <f t="shared" si="29"/>
        <v>day</v>
      </c>
      <c r="O91">
        <f t="shared" si="30"/>
        <v>9</v>
      </c>
      <c r="P91">
        <f t="shared" si="31"/>
        <v>2022</v>
      </c>
      <c r="Q91" t="s">
        <v>398</v>
      </c>
      <c r="R91">
        <f t="shared" si="32"/>
        <v>10</v>
      </c>
      <c r="S91">
        <f t="shared" si="33"/>
        <v>47</v>
      </c>
      <c r="T91">
        <f t="shared" si="34"/>
        <v>52</v>
      </c>
      <c r="U91">
        <v>81217</v>
      </c>
      <c r="V91">
        <v>77303</v>
      </c>
      <c r="W91" t="str">
        <f t="shared" si="35"/>
        <v>High Target</v>
      </c>
      <c r="X91" t="str">
        <f t="shared" si="36"/>
        <v>Medium Target</v>
      </c>
      <c r="Y91" t="s">
        <v>57</v>
      </c>
      <c r="Z91" t="str">
        <f t="shared" si="37"/>
        <v>HELPFUL ATTITUDE</v>
      </c>
      <c r="AA91" t="str">
        <f t="shared" si="38"/>
        <v>helpful attitude</v>
      </c>
      <c r="AB91" t="str">
        <f t="shared" si="39"/>
        <v>Helpful Attitude</v>
      </c>
    </row>
    <row r="92" spans="1:28">
      <c r="A92" t="s">
        <v>399</v>
      </c>
      <c r="B92" t="s">
        <v>400</v>
      </c>
      <c r="C92">
        <f t="shared" si="22"/>
        <v>13</v>
      </c>
      <c r="D92" t="s">
        <v>42</v>
      </c>
      <c r="E92" t="str">
        <f t="shared" si="21"/>
        <v>Neha Malhotra(E1091) - Finance</v>
      </c>
      <c r="F92" t="str">
        <f t="shared" si="23"/>
        <v>Finance</v>
      </c>
      <c r="G92">
        <f t="shared" si="24"/>
        <v>22</v>
      </c>
      <c r="H92" t="str">
        <f t="shared" si="25"/>
        <v xml:space="preserve">Neha Malhotra(E1091) </v>
      </c>
      <c r="I92" t="s">
        <v>90</v>
      </c>
      <c r="J92" t="str">
        <f t="shared" si="26"/>
        <v>Kolk@ta</v>
      </c>
      <c r="K92" t="s">
        <v>401</v>
      </c>
      <c r="L92" t="str">
        <f t="shared" si="27"/>
        <v>Tuesday</v>
      </c>
      <c r="M92" t="str">
        <f t="shared" si="28"/>
        <v>Tue</v>
      </c>
      <c r="N92" t="str">
        <f t="shared" si="29"/>
        <v>day</v>
      </c>
      <c r="O92">
        <f t="shared" si="30"/>
        <v>7</v>
      </c>
      <c r="P92">
        <f t="shared" si="31"/>
        <v>2022</v>
      </c>
      <c r="Q92" t="s">
        <v>402</v>
      </c>
      <c r="R92">
        <f t="shared" si="32"/>
        <v>10</v>
      </c>
      <c r="S92">
        <f t="shared" si="33"/>
        <v>34</v>
      </c>
      <c r="T92">
        <f t="shared" si="34"/>
        <v>31</v>
      </c>
      <c r="U92">
        <v>58959</v>
      </c>
      <c r="V92">
        <v>68688</v>
      </c>
      <c r="W92" t="str">
        <f t="shared" si="35"/>
        <v>High Target</v>
      </c>
      <c r="X92" t="str">
        <f t="shared" si="36"/>
        <v>Medium Target</v>
      </c>
      <c r="Y92" t="s">
        <v>16</v>
      </c>
      <c r="Z92" t="str">
        <f t="shared" si="37"/>
        <v>EXCELLENT LEADERSHIP</v>
      </c>
      <c r="AA92" t="str">
        <f t="shared" si="38"/>
        <v>excellent leadership</v>
      </c>
      <c r="AB92" t="str">
        <f t="shared" si="39"/>
        <v>Excellent Leadership</v>
      </c>
    </row>
    <row r="93" spans="1:28">
      <c r="A93" t="s">
        <v>403</v>
      </c>
      <c r="B93" t="s">
        <v>232</v>
      </c>
      <c r="C93">
        <f t="shared" si="22"/>
        <v>12</v>
      </c>
      <c r="D93" t="s">
        <v>42</v>
      </c>
      <c r="E93" t="str">
        <f t="shared" si="21"/>
        <v>Priya Chopra(E1092) - Finance</v>
      </c>
      <c r="F93" t="str">
        <f t="shared" si="23"/>
        <v>Finance</v>
      </c>
      <c r="G93">
        <f t="shared" si="24"/>
        <v>21</v>
      </c>
      <c r="H93" t="str">
        <f t="shared" si="25"/>
        <v xml:space="preserve">Priya Chopra(E1092) </v>
      </c>
      <c r="I93" t="s">
        <v>13</v>
      </c>
      <c r="J93" t="str">
        <f t="shared" si="26"/>
        <v>Chenn@i</v>
      </c>
      <c r="K93" t="s">
        <v>404</v>
      </c>
      <c r="L93" t="str">
        <f t="shared" si="27"/>
        <v>Monday</v>
      </c>
      <c r="M93" t="str">
        <f t="shared" si="28"/>
        <v>Mon</v>
      </c>
      <c r="N93" t="str">
        <f t="shared" si="29"/>
        <v>day</v>
      </c>
      <c r="O93">
        <f t="shared" si="30"/>
        <v>2</v>
      </c>
      <c r="P93">
        <f t="shared" si="31"/>
        <v>2021</v>
      </c>
      <c r="Q93" t="s">
        <v>405</v>
      </c>
      <c r="R93">
        <f t="shared" si="32"/>
        <v>8</v>
      </c>
      <c r="S93">
        <f t="shared" si="33"/>
        <v>14</v>
      </c>
      <c r="T93">
        <f t="shared" si="34"/>
        <v>43</v>
      </c>
      <c r="U93">
        <v>81144</v>
      </c>
      <c r="V93">
        <v>94785</v>
      </c>
      <c r="W93" t="str">
        <f t="shared" si="35"/>
        <v>High Target</v>
      </c>
      <c r="X93" t="str">
        <f t="shared" si="36"/>
        <v>High Target</v>
      </c>
      <c r="Y93" t="s">
        <v>31</v>
      </c>
      <c r="Z93" t="str">
        <f t="shared" si="37"/>
        <v>CUSTOMER FOCUSED</v>
      </c>
      <c r="AA93" t="str">
        <f t="shared" si="38"/>
        <v>customer focused</v>
      </c>
      <c r="AB93" t="str">
        <f t="shared" si="39"/>
        <v>Customer Focused</v>
      </c>
    </row>
    <row r="94" spans="1:28">
      <c r="A94" t="s">
        <v>406</v>
      </c>
      <c r="B94" t="s">
        <v>407</v>
      </c>
      <c r="C94">
        <f t="shared" si="22"/>
        <v>10</v>
      </c>
      <c r="D94" t="s">
        <v>12</v>
      </c>
      <c r="E94" t="str">
        <f t="shared" si="21"/>
        <v>Nidhi Shah(E1093) - Sales</v>
      </c>
      <c r="F94" t="str">
        <f t="shared" si="23"/>
        <v>Sales</v>
      </c>
      <c r="G94">
        <f t="shared" si="24"/>
        <v>19</v>
      </c>
      <c r="H94" t="str">
        <f t="shared" si="25"/>
        <v xml:space="preserve">Nidhi Shah(E1093) </v>
      </c>
      <c r="I94" t="s">
        <v>66</v>
      </c>
      <c r="J94" t="str">
        <f t="shared" si="26"/>
        <v>Delhi</v>
      </c>
      <c r="K94" t="s">
        <v>408</v>
      </c>
      <c r="L94" t="str">
        <f t="shared" si="27"/>
        <v>Tuesday</v>
      </c>
      <c r="M94" t="str">
        <f t="shared" si="28"/>
        <v>Tue</v>
      </c>
      <c r="N94" t="str">
        <f t="shared" si="29"/>
        <v>day</v>
      </c>
      <c r="O94">
        <f t="shared" si="30"/>
        <v>8</v>
      </c>
      <c r="P94">
        <f t="shared" si="31"/>
        <v>2023</v>
      </c>
      <c r="Q94" t="s">
        <v>409</v>
      </c>
      <c r="R94">
        <f t="shared" si="32"/>
        <v>10</v>
      </c>
      <c r="S94">
        <f t="shared" si="33"/>
        <v>41</v>
      </c>
      <c r="T94">
        <f t="shared" si="34"/>
        <v>28</v>
      </c>
      <c r="U94">
        <v>55123</v>
      </c>
      <c r="V94">
        <v>58229</v>
      </c>
      <c r="W94" t="str">
        <f t="shared" si="35"/>
        <v>High Target</v>
      </c>
      <c r="X94" t="str">
        <f t="shared" si="36"/>
        <v>Low Target</v>
      </c>
      <c r="Y94" t="s">
        <v>16</v>
      </c>
      <c r="Z94" t="str">
        <f t="shared" si="37"/>
        <v>EXCELLENT LEADERSHIP</v>
      </c>
      <c r="AA94" t="str">
        <f t="shared" si="38"/>
        <v>excellent leadership</v>
      </c>
      <c r="AB94" t="str">
        <f t="shared" si="39"/>
        <v>Excellent Leadership</v>
      </c>
    </row>
    <row r="95" spans="1:28">
      <c r="A95" t="s">
        <v>410</v>
      </c>
      <c r="B95" t="s">
        <v>411</v>
      </c>
      <c r="C95">
        <f t="shared" si="22"/>
        <v>13</v>
      </c>
      <c r="D95" t="s">
        <v>12</v>
      </c>
      <c r="E95" t="str">
        <f t="shared" si="21"/>
        <v>Nisha Agarwal(E1094) - Sales</v>
      </c>
      <c r="F95" t="str">
        <f t="shared" si="23"/>
        <v>Sales</v>
      </c>
      <c r="G95">
        <f t="shared" si="24"/>
        <v>22</v>
      </c>
      <c r="H95" t="str">
        <f t="shared" si="25"/>
        <v xml:space="preserve">Nisha Agarwal(E1094) </v>
      </c>
      <c r="I95" t="s">
        <v>80</v>
      </c>
      <c r="J95" t="str">
        <f t="shared" si="26"/>
        <v>Ahmed@bad</v>
      </c>
      <c r="K95" t="s">
        <v>412</v>
      </c>
      <c r="L95" t="str">
        <f t="shared" si="27"/>
        <v>Wednesday</v>
      </c>
      <c r="M95" t="str">
        <f t="shared" si="28"/>
        <v>Wed</v>
      </c>
      <c r="N95" t="str">
        <f t="shared" si="29"/>
        <v>day</v>
      </c>
      <c r="O95">
        <f t="shared" si="30"/>
        <v>12</v>
      </c>
      <c r="P95">
        <f t="shared" si="31"/>
        <v>2022</v>
      </c>
      <c r="Q95" t="s">
        <v>413</v>
      </c>
      <c r="R95">
        <f t="shared" si="32"/>
        <v>9</v>
      </c>
      <c r="S95">
        <f t="shared" si="33"/>
        <v>21</v>
      </c>
      <c r="T95">
        <f t="shared" si="34"/>
        <v>20</v>
      </c>
      <c r="U95">
        <v>75772</v>
      </c>
      <c r="V95">
        <v>83917</v>
      </c>
      <c r="W95" t="str">
        <f t="shared" si="35"/>
        <v>High Target</v>
      </c>
      <c r="X95" t="str">
        <f t="shared" si="36"/>
        <v>High Target</v>
      </c>
      <c r="Y95" t="s">
        <v>214</v>
      </c>
      <c r="Z95" t="str">
        <f t="shared" si="37"/>
        <v>POSITIVE ATTITUDE</v>
      </c>
      <c r="AA95" t="str">
        <f t="shared" si="38"/>
        <v>positive attitude</v>
      </c>
      <c r="AB95" t="str">
        <f t="shared" si="39"/>
        <v>Positive Attitude</v>
      </c>
    </row>
    <row r="96" spans="1:28">
      <c r="A96" t="s">
        <v>414</v>
      </c>
      <c r="B96" t="s">
        <v>211</v>
      </c>
      <c r="C96">
        <f t="shared" si="22"/>
        <v>10</v>
      </c>
      <c r="D96" t="s">
        <v>27</v>
      </c>
      <c r="E96" t="str">
        <f t="shared" si="21"/>
        <v>Sneha Iyer(E1095) - Marketing</v>
      </c>
      <c r="F96" t="str">
        <f t="shared" si="23"/>
        <v>Marketing</v>
      </c>
      <c r="G96">
        <f t="shared" si="24"/>
        <v>19</v>
      </c>
      <c r="H96" t="str">
        <f t="shared" si="25"/>
        <v xml:space="preserve">Sneha Iyer(E1095) </v>
      </c>
      <c r="I96" t="s">
        <v>80</v>
      </c>
      <c r="J96" t="str">
        <f t="shared" si="26"/>
        <v>Ahmed@bad</v>
      </c>
      <c r="K96" t="s">
        <v>415</v>
      </c>
      <c r="L96" t="str">
        <f t="shared" si="27"/>
        <v>Sunday</v>
      </c>
      <c r="M96" t="str">
        <f t="shared" si="28"/>
        <v>Sun</v>
      </c>
      <c r="N96" t="str">
        <f t="shared" si="29"/>
        <v>day</v>
      </c>
      <c r="O96">
        <f t="shared" si="30"/>
        <v>8</v>
      </c>
      <c r="P96">
        <f t="shared" si="31"/>
        <v>2022</v>
      </c>
      <c r="Q96" t="s">
        <v>416</v>
      </c>
      <c r="R96">
        <f t="shared" si="32"/>
        <v>10</v>
      </c>
      <c r="S96">
        <f t="shared" si="33"/>
        <v>25</v>
      </c>
      <c r="T96">
        <f t="shared" si="34"/>
        <v>52</v>
      </c>
      <c r="U96">
        <v>77244</v>
      </c>
      <c r="V96">
        <v>89840</v>
      </c>
      <c r="W96" t="str">
        <f t="shared" si="35"/>
        <v>High Target</v>
      </c>
      <c r="X96" t="str">
        <f t="shared" si="36"/>
        <v>High Target</v>
      </c>
      <c r="Y96" t="s">
        <v>57</v>
      </c>
      <c r="Z96" t="str">
        <f t="shared" si="37"/>
        <v>HELPFUL ATTITUDE</v>
      </c>
      <c r="AA96" t="str">
        <f t="shared" si="38"/>
        <v>helpful attitude</v>
      </c>
      <c r="AB96" t="str">
        <f t="shared" si="39"/>
        <v>Helpful Attitude</v>
      </c>
    </row>
    <row r="97" spans="1:28">
      <c r="A97" t="s">
        <v>417</v>
      </c>
      <c r="B97" t="s">
        <v>418</v>
      </c>
      <c r="C97">
        <f t="shared" si="22"/>
        <v>10</v>
      </c>
      <c r="D97" t="s">
        <v>42</v>
      </c>
      <c r="E97" t="str">
        <f t="shared" si="21"/>
        <v>Rahul Iyer(E1096) - Finance</v>
      </c>
      <c r="F97" t="str">
        <f t="shared" si="23"/>
        <v>Finance</v>
      </c>
      <c r="G97">
        <f t="shared" si="24"/>
        <v>19</v>
      </c>
      <c r="H97" t="str">
        <f t="shared" si="25"/>
        <v xml:space="preserve">Rahul Iyer(E1096) </v>
      </c>
      <c r="I97" t="s">
        <v>35</v>
      </c>
      <c r="J97" t="str">
        <f t="shared" si="26"/>
        <v>Hyder@bad</v>
      </c>
      <c r="K97" t="s">
        <v>419</v>
      </c>
      <c r="L97" t="str">
        <f t="shared" si="27"/>
        <v>Thursday</v>
      </c>
      <c r="M97" t="str">
        <f t="shared" si="28"/>
        <v>Thu</v>
      </c>
      <c r="N97" t="str">
        <f t="shared" si="29"/>
        <v>day</v>
      </c>
      <c r="O97">
        <f t="shared" si="30"/>
        <v>8</v>
      </c>
      <c r="P97">
        <f t="shared" si="31"/>
        <v>2021</v>
      </c>
      <c r="Q97" t="s">
        <v>420</v>
      </c>
      <c r="R97">
        <f t="shared" si="32"/>
        <v>9</v>
      </c>
      <c r="S97">
        <f t="shared" si="33"/>
        <v>55</v>
      </c>
      <c r="T97">
        <f t="shared" si="34"/>
        <v>32</v>
      </c>
      <c r="U97">
        <v>79137</v>
      </c>
      <c r="V97">
        <v>94062</v>
      </c>
      <c r="W97" t="str">
        <f t="shared" si="35"/>
        <v>High Target</v>
      </c>
      <c r="X97" t="str">
        <f t="shared" si="36"/>
        <v>High Target</v>
      </c>
      <c r="Y97" t="s">
        <v>69</v>
      </c>
      <c r="Z97" t="str">
        <f t="shared" si="37"/>
        <v>GOOD TEAMWORK</v>
      </c>
      <c r="AA97" t="str">
        <f t="shared" si="38"/>
        <v>good teamwork</v>
      </c>
      <c r="AB97" t="str">
        <f t="shared" si="39"/>
        <v>Good Teamwork</v>
      </c>
    </row>
    <row r="98" spans="1:28">
      <c r="A98" t="s">
        <v>421</v>
      </c>
      <c r="B98" t="s">
        <v>422</v>
      </c>
      <c r="C98">
        <f t="shared" si="22"/>
        <v>10</v>
      </c>
      <c r="D98" t="s">
        <v>27</v>
      </c>
      <c r="E98" t="str">
        <f t="shared" si="21"/>
        <v>Isha Goyal(E1097) - Marketing</v>
      </c>
      <c r="F98" t="str">
        <f t="shared" si="23"/>
        <v>Marketing</v>
      </c>
      <c r="G98">
        <f t="shared" si="24"/>
        <v>19</v>
      </c>
      <c r="H98" t="str">
        <f t="shared" si="25"/>
        <v xml:space="preserve">Isha Goyal(E1097) </v>
      </c>
      <c r="I98" t="s">
        <v>90</v>
      </c>
      <c r="J98" t="str">
        <f t="shared" si="26"/>
        <v>Kolk@ta</v>
      </c>
      <c r="K98" t="s">
        <v>423</v>
      </c>
      <c r="L98" t="str">
        <f t="shared" si="27"/>
        <v>Thursday</v>
      </c>
      <c r="M98" t="str">
        <f t="shared" si="28"/>
        <v>Thu</v>
      </c>
      <c r="N98" t="str">
        <f t="shared" si="29"/>
        <v>day</v>
      </c>
      <c r="O98">
        <f t="shared" si="30"/>
        <v>4</v>
      </c>
      <c r="P98">
        <f t="shared" si="31"/>
        <v>2021</v>
      </c>
      <c r="Q98" t="s">
        <v>424</v>
      </c>
      <c r="R98">
        <f t="shared" si="32"/>
        <v>8</v>
      </c>
      <c r="S98">
        <f t="shared" si="33"/>
        <v>33</v>
      </c>
      <c r="T98">
        <f t="shared" si="34"/>
        <v>23</v>
      </c>
      <c r="U98">
        <v>98473</v>
      </c>
      <c r="V98">
        <v>80804</v>
      </c>
      <c r="W98" t="str">
        <f t="shared" si="35"/>
        <v>High Target</v>
      </c>
      <c r="X98" t="str">
        <f t="shared" si="36"/>
        <v>High Target</v>
      </c>
      <c r="Y98" t="s">
        <v>69</v>
      </c>
      <c r="Z98" t="str">
        <f t="shared" si="37"/>
        <v>GOOD TEAMWORK</v>
      </c>
      <c r="AA98" t="str">
        <f t="shared" si="38"/>
        <v>good teamwork</v>
      </c>
      <c r="AB98" t="str">
        <f t="shared" si="39"/>
        <v>Good Teamwork</v>
      </c>
    </row>
    <row r="99" spans="1:28">
      <c r="A99" t="s">
        <v>425</v>
      </c>
      <c r="B99" t="s">
        <v>426</v>
      </c>
      <c r="C99">
        <f t="shared" si="22"/>
        <v>12</v>
      </c>
      <c r="D99" t="s">
        <v>54</v>
      </c>
      <c r="E99" t="str">
        <f t="shared" si="21"/>
        <v>Deepak Patel(E1098) - HR</v>
      </c>
      <c r="F99" t="str">
        <f t="shared" si="23"/>
        <v>HR</v>
      </c>
      <c r="G99">
        <f t="shared" si="24"/>
        <v>21</v>
      </c>
      <c r="H99" t="str">
        <f t="shared" si="25"/>
        <v xml:space="preserve">Deepak Patel(E1098) </v>
      </c>
      <c r="I99" t="s">
        <v>13</v>
      </c>
      <c r="J99" t="str">
        <f t="shared" si="26"/>
        <v>Chenn@i</v>
      </c>
      <c r="K99" t="s">
        <v>427</v>
      </c>
      <c r="L99" t="str">
        <f t="shared" si="27"/>
        <v>Tuesday</v>
      </c>
      <c r="M99" t="str">
        <f t="shared" si="28"/>
        <v>Tue</v>
      </c>
      <c r="N99" t="str">
        <f t="shared" si="29"/>
        <v>day</v>
      </c>
      <c r="O99">
        <f t="shared" si="30"/>
        <v>1</v>
      </c>
      <c r="P99">
        <f t="shared" si="31"/>
        <v>2024</v>
      </c>
      <c r="Q99" t="s">
        <v>428</v>
      </c>
      <c r="R99">
        <f t="shared" si="32"/>
        <v>8</v>
      </c>
      <c r="S99">
        <f t="shared" si="33"/>
        <v>59</v>
      </c>
      <c r="T99">
        <f t="shared" si="34"/>
        <v>18</v>
      </c>
      <c r="U99">
        <v>85478</v>
      </c>
      <c r="V99">
        <v>68712</v>
      </c>
      <c r="W99" t="str">
        <f t="shared" si="35"/>
        <v>High Target</v>
      </c>
      <c r="X99" t="str">
        <f t="shared" si="36"/>
        <v>Medium Target</v>
      </c>
      <c r="Y99" t="s">
        <v>38</v>
      </c>
      <c r="Z99" t="str">
        <f t="shared" si="37"/>
        <v>GOOD COMMUNICATION</v>
      </c>
      <c r="AA99" t="str">
        <f t="shared" si="38"/>
        <v>good communication</v>
      </c>
      <c r="AB99" t="str">
        <f t="shared" si="39"/>
        <v>Good Communication</v>
      </c>
    </row>
    <row r="100" spans="1:28">
      <c r="A100" t="s">
        <v>429</v>
      </c>
      <c r="B100" t="s">
        <v>430</v>
      </c>
      <c r="C100">
        <f t="shared" si="22"/>
        <v>9</v>
      </c>
      <c r="D100" t="s">
        <v>54</v>
      </c>
      <c r="E100" t="str">
        <f t="shared" si="21"/>
        <v>Amit Jain(E1099) - HR</v>
      </c>
      <c r="F100" t="str">
        <f t="shared" si="23"/>
        <v>HR</v>
      </c>
      <c r="G100">
        <f t="shared" si="24"/>
        <v>18</v>
      </c>
      <c r="H100" t="str">
        <f t="shared" si="25"/>
        <v xml:space="preserve">Amit Jain(E1099) </v>
      </c>
      <c r="I100" t="s">
        <v>66</v>
      </c>
      <c r="J100" t="str">
        <f t="shared" si="26"/>
        <v>Delhi</v>
      </c>
      <c r="K100" t="s">
        <v>431</v>
      </c>
      <c r="L100" t="str">
        <f t="shared" si="27"/>
        <v>Thursday</v>
      </c>
      <c r="M100" t="str">
        <f t="shared" si="28"/>
        <v>Thu</v>
      </c>
      <c r="N100" t="str">
        <f t="shared" si="29"/>
        <v>day</v>
      </c>
      <c r="O100">
        <f t="shared" si="30"/>
        <v>9</v>
      </c>
      <c r="P100">
        <f t="shared" si="31"/>
        <v>2022</v>
      </c>
      <c r="Q100" t="s">
        <v>432</v>
      </c>
      <c r="R100">
        <f t="shared" si="32"/>
        <v>10</v>
      </c>
      <c r="S100">
        <f t="shared" si="33"/>
        <v>0</v>
      </c>
      <c r="T100">
        <f t="shared" si="34"/>
        <v>35</v>
      </c>
      <c r="U100">
        <v>57846</v>
      </c>
      <c r="V100">
        <v>66738</v>
      </c>
      <c r="W100" t="str">
        <f t="shared" si="35"/>
        <v>High Target</v>
      </c>
      <c r="X100" t="str">
        <f t="shared" si="36"/>
        <v>Medium Target</v>
      </c>
      <c r="Y100" t="s">
        <v>76</v>
      </c>
      <c r="Z100" t="str">
        <f t="shared" si="37"/>
        <v>ACCURATE REPORTS</v>
      </c>
      <c r="AA100" t="str">
        <f t="shared" si="38"/>
        <v>accurate reports</v>
      </c>
      <c r="AB100" t="str">
        <f t="shared" si="39"/>
        <v>Accurate Reports</v>
      </c>
    </row>
    <row r="101" spans="1:28">
      <c r="A101" t="s">
        <v>433</v>
      </c>
      <c r="B101" t="s">
        <v>434</v>
      </c>
      <c r="C101">
        <f t="shared" si="22"/>
        <v>11</v>
      </c>
      <c r="D101" t="s">
        <v>27</v>
      </c>
      <c r="E101" t="str">
        <f t="shared" si="21"/>
        <v>Varun Singh(E1100) - Marketing</v>
      </c>
      <c r="F101" t="str">
        <f t="shared" si="23"/>
        <v>Marketing</v>
      </c>
      <c r="G101">
        <f t="shared" si="24"/>
        <v>20</v>
      </c>
      <c r="H101" t="str">
        <f t="shared" si="25"/>
        <v xml:space="preserve">Varun Singh(E1100) </v>
      </c>
      <c r="I101" t="s">
        <v>20</v>
      </c>
      <c r="J101" t="str">
        <f t="shared" si="26"/>
        <v>Pune</v>
      </c>
      <c r="K101" t="s">
        <v>435</v>
      </c>
      <c r="L101" t="str">
        <f t="shared" si="27"/>
        <v>Monday</v>
      </c>
      <c r="M101" t="str">
        <f t="shared" si="28"/>
        <v>Mon</v>
      </c>
      <c r="N101" t="str">
        <f t="shared" si="29"/>
        <v>day</v>
      </c>
      <c r="O101">
        <f t="shared" si="30"/>
        <v>8</v>
      </c>
      <c r="P101">
        <f t="shared" si="31"/>
        <v>2024</v>
      </c>
      <c r="Q101" t="s">
        <v>436</v>
      </c>
      <c r="R101">
        <f t="shared" si="32"/>
        <v>8</v>
      </c>
      <c r="S101">
        <f t="shared" si="33"/>
        <v>31</v>
      </c>
      <c r="T101">
        <f t="shared" si="34"/>
        <v>59</v>
      </c>
      <c r="U101">
        <v>91090</v>
      </c>
      <c r="V101">
        <v>86963</v>
      </c>
      <c r="W101" t="str">
        <f t="shared" si="35"/>
        <v>High Target</v>
      </c>
      <c r="X101" t="str">
        <f t="shared" si="36"/>
        <v>High Target</v>
      </c>
      <c r="Y101" t="s">
        <v>45</v>
      </c>
      <c r="Z101" t="str">
        <f t="shared" si="37"/>
        <v>STRONG PRESENTATION</v>
      </c>
      <c r="AA101" t="str">
        <f t="shared" si="38"/>
        <v>strong presentation</v>
      </c>
      <c r="AB101" t="str">
        <f t="shared" si="39"/>
        <v>Strong Presentation</v>
      </c>
    </row>
    <row r="102" spans="1:28">
      <c r="A102" t="s">
        <v>437</v>
      </c>
      <c r="B102" t="s">
        <v>438</v>
      </c>
      <c r="C102">
        <f t="shared" si="22"/>
        <v>14</v>
      </c>
      <c r="D102" t="s">
        <v>27</v>
      </c>
      <c r="E102" t="str">
        <f t="shared" si="21"/>
        <v>Siddharth Shah(E1101) - Marketing</v>
      </c>
      <c r="F102" t="str">
        <f t="shared" si="23"/>
        <v>Marketing</v>
      </c>
      <c r="G102">
        <f t="shared" si="24"/>
        <v>23</v>
      </c>
      <c r="H102" t="str">
        <f t="shared" si="25"/>
        <v xml:space="preserve">Siddharth Shah(E1101) </v>
      </c>
      <c r="I102" t="s">
        <v>80</v>
      </c>
      <c r="J102" t="str">
        <f t="shared" si="26"/>
        <v>Ahmed@bad</v>
      </c>
      <c r="K102" t="s">
        <v>439</v>
      </c>
      <c r="L102" t="str">
        <f t="shared" si="27"/>
        <v>Saturday</v>
      </c>
      <c r="M102" t="str">
        <f t="shared" si="28"/>
        <v>Sat</v>
      </c>
      <c r="N102" t="str">
        <f t="shared" si="29"/>
        <v>day</v>
      </c>
      <c r="O102">
        <f t="shared" si="30"/>
        <v>8</v>
      </c>
      <c r="P102">
        <f t="shared" si="31"/>
        <v>2023</v>
      </c>
      <c r="Q102" t="s">
        <v>440</v>
      </c>
      <c r="R102">
        <f t="shared" si="32"/>
        <v>8</v>
      </c>
      <c r="S102">
        <f t="shared" si="33"/>
        <v>29</v>
      </c>
      <c r="T102">
        <f t="shared" si="34"/>
        <v>35</v>
      </c>
      <c r="U102">
        <v>59617</v>
      </c>
      <c r="V102">
        <v>49479</v>
      </c>
      <c r="W102" t="str">
        <f t="shared" si="35"/>
        <v>Low Target</v>
      </c>
      <c r="X102" t="str">
        <f t="shared" si="36"/>
        <v>Low Target</v>
      </c>
      <c r="Y102" t="s">
        <v>76</v>
      </c>
      <c r="Z102" t="str">
        <f t="shared" si="37"/>
        <v>ACCURATE REPORTS</v>
      </c>
      <c r="AA102" t="str">
        <f t="shared" si="38"/>
        <v>accurate reports</v>
      </c>
      <c r="AB102" t="str">
        <f t="shared" si="39"/>
        <v>Accurate Reports</v>
      </c>
    </row>
    <row r="103" spans="1:28">
      <c r="A103" t="s">
        <v>441</v>
      </c>
      <c r="B103" t="s">
        <v>442</v>
      </c>
      <c r="C103">
        <f t="shared" si="22"/>
        <v>12</v>
      </c>
      <c r="D103" t="s">
        <v>54</v>
      </c>
      <c r="E103" t="str">
        <f t="shared" si="21"/>
        <v>Madhuri Jain(E1102) - HR</v>
      </c>
      <c r="F103" t="str">
        <f t="shared" si="23"/>
        <v>HR</v>
      </c>
      <c r="G103">
        <f t="shared" si="24"/>
        <v>21</v>
      </c>
      <c r="H103" t="str">
        <f t="shared" si="25"/>
        <v xml:space="preserve">Madhuri Jain(E1102) </v>
      </c>
      <c r="I103" t="s">
        <v>20</v>
      </c>
      <c r="J103" t="str">
        <f t="shared" si="26"/>
        <v>Pune</v>
      </c>
      <c r="K103" t="s">
        <v>443</v>
      </c>
      <c r="L103" t="str">
        <f t="shared" si="27"/>
        <v>Wednesday</v>
      </c>
      <c r="M103" t="str">
        <f t="shared" si="28"/>
        <v>Wed</v>
      </c>
      <c r="N103" t="str">
        <f t="shared" si="29"/>
        <v>day</v>
      </c>
      <c r="O103">
        <f t="shared" si="30"/>
        <v>7</v>
      </c>
      <c r="P103">
        <f t="shared" si="31"/>
        <v>2022</v>
      </c>
      <c r="Q103" t="s">
        <v>444</v>
      </c>
      <c r="R103">
        <f t="shared" si="32"/>
        <v>9</v>
      </c>
      <c r="S103">
        <f t="shared" si="33"/>
        <v>21</v>
      </c>
      <c r="T103">
        <f t="shared" si="34"/>
        <v>59</v>
      </c>
      <c r="U103">
        <v>109898</v>
      </c>
      <c r="V103">
        <v>91623</v>
      </c>
      <c r="W103" t="str">
        <f t="shared" si="35"/>
        <v>High Target</v>
      </c>
      <c r="X103" t="str">
        <f t="shared" si="36"/>
        <v>High Target</v>
      </c>
      <c r="Y103" t="s">
        <v>143</v>
      </c>
      <c r="Z103" t="str">
        <f t="shared" si="37"/>
        <v>NEEDS IMPROVEMENT</v>
      </c>
      <c r="AA103" t="str">
        <f t="shared" si="38"/>
        <v>needs improvement</v>
      </c>
      <c r="AB103" t="str">
        <f t="shared" si="39"/>
        <v>Needs Improvement</v>
      </c>
    </row>
    <row r="104" spans="1:28">
      <c r="A104" t="s">
        <v>445</v>
      </c>
      <c r="B104" t="s">
        <v>446</v>
      </c>
      <c r="C104">
        <f t="shared" si="22"/>
        <v>12</v>
      </c>
      <c r="D104" t="s">
        <v>42</v>
      </c>
      <c r="E104" t="str">
        <f t="shared" si="21"/>
        <v>Varun Sharma(E1103) - Finance</v>
      </c>
      <c r="F104" t="str">
        <f t="shared" si="23"/>
        <v>Finance</v>
      </c>
      <c r="G104">
        <f t="shared" si="24"/>
        <v>21</v>
      </c>
      <c r="H104" t="str">
        <f t="shared" si="25"/>
        <v xml:space="preserve">Varun Sharma(E1103) </v>
      </c>
      <c r="I104" t="s">
        <v>13</v>
      </c>
      <c r="J104" t="str">
        <f t="shared" si="26"/>
        <v>Chenn@i</v>
      </c>
      <c r="K104" t="s">
        <v>447</v>
      </c>
      <c r="L104" t="str">
        <f t="shared" si="27"/>
        <v>Wednesday</v>
      </c>
      <c r="M104" t="str">
        <f t="shared" si="28"/>
        <v>Wed</v>
      </c>
      <c r="N104" t="str">
        <f t="shared" si="29"/>
        <v>day</v>
      </c>
      <c r="O104">
        <f t="shared" si="30"/>
        <v>4</v>
      </c>
      <c r="P104">
        <f t="shared" si="31"/>
        <v>2024</v>
      </c>
      <c r="Q104" t="s">
        <v>448</v>
      </c>
      <c r="R104">
        <f t="shared" si="32"/>
        <v>10</v>
      </c>
      <c r="S104">
        <f t="shared" si="33"/>
        <v>42</v>
      </c>
      <c r="T104">
        <f t="shared" si="34"/>
        <v>31</v>
      </c>
      <c r="U104">
        <v>91443</v>
      </c>
      <c r="V104">
        <v>96705</v>
      </c>
      <c r="W104" t="str">
        <f t="shared" si="35"/>
        <v>High Target</v>
      </c>
      <c r="X104" t="str">
        <f t="shared" si="36"/>
        <v>High Target</v>
      </c>
      <c r="Y104" t="s">
        <v>57</v>
      </c>
      <c r="Z104" t="str">
        <f t="shared" si="37"/>
        <v>HELPFUL ATTITUDE</v>
      </c>
      <c r="AA104" t="str">
        <f t="shared" si="38"/>
        <v>helpful attitude</v>
      </c>
      <c r="AB104" t="str">
        <f t="shared" si="39"/>
        <v>Helpful Attitude</v>
      </c>
    </row>
    <row r="105" spans="1:28">
      <c r="A105" t="s">
        <v>449</v>
      </c>
      <c r="B105" t="s">
        <v>450</v>
      </c>
      <c r="C105">
        <f t="shared" si="22"/>
        <v>14</v>
      </c>
      <c r="D105" t="s">
        <v>42</v>
      </c>
      <c r="E105" t="str">
        <f t="shared" si="21"/>
        <v>Ritika Agarwal(E1104) - Finance</v>
      </c>
      <c r="F105" t="str">
        <f t="shared" si="23"/>
        <v>Finance</v>
      </c>
      <c r="G105">
        <f t="shared" si="24"/>
        <v>23</v>
      </c>
      <c r="H105" t="str">
        <f t="shared" si="25"/>
        <v xml:space="preserve">Ritika Agarwal(E1104) </v>
      </c>
      <c r="I105" t="s">
        <v>35</v>
      </c>
      <c r="J105" t="str">
        <f t="shared" si="26"/>
        <v>Hyder@bad</v>
      </c>
      <c r="K105" t="s">
        <v>451</v>
      </c>
      <c r="L105" t="str">
        <f t="shared" si="27"/>
        <v>Monday</v>
      </c>
      <c r="M105" t="str">
        <f t="shared" si="28"/>
        <v>Mon</v>
      </c>
      <c r="N105" t="str">
        <f t="shared" si="29"/>
        <v>day</v>
      </c>
      <c r="O105">
        <f t="shared" si="30"/>
        <v>2</v>
      </c>
      <c r="P105">
        <f t="shared" si="31"/>
        <v>2024</v>
      </c>
      <c r="Q105" t="s">
        <v>452</v>
      </c>
      <c r="R105">
        <f t="shared" si="32"/>
        <v>10</v>
      </c>
      <c r="S105">
        <f t="shared" si="33"/>
        <v>24</v>
      </c>
      <c r="T105">
        <f t="shared" si="34"/>
        <v>29</v>
      </c>
      <c r="U105">
        <v>58451</v>
      </c>
      <c r="V105">
        <v>61088</v>
      </c>
      <c r="W105" t="str">
        <f t="shared" si="35"/>
        <v>High Target</v>
      </c>
      <c r="X105" t="str">
        <f t="shared" si="36"/>
        <v>Medium Target</v>
      </c>
      <c r="Y105" t="s">
        <v>23</v>
      </c>
      <c r="Z105" t="str">
        <f t="shared" si="37"/>
        <v>FAST DELIVERY</v>
      </c>
      <c r="AA105" t="str">
        <f t="shared" si="38"/>
        <v>fast delivery</v>
      </c>
      <c r="AB105" t="str">
        <f t="shared" si="39"/>
        <v>Fast Delivery</v>
      </c>
    </row>
    <row r="106" spans="1:28">
      <c r="A106" t="s">
        <v>453</v>
      </c>
      <c r="B106" t="s">
        <v>454</v>
      </c>
      <c r="C106">
        <f t="shared" si="22"/>
        <v>12</v>
      </c>
      <c r="D106" t="s">
        <v>27</v>
      </c>
      <c r="E106" t="str">
        <f t="shared" si="21"/>
        <v>Pooja Mishra(E1105) - Marketing</v>
      </c>
      <c r="F106" t="str">
        <f t="shared" si="23"/>
        <v>Marketing</v>
      </c>
      <c r="G106">
        <f t="shared" si="24"/>
        <v>21</v>
      </c>
      <c r="H106" t="str">
        <f t="shared" si="25"/>
        <v xml:space="preserve">Pooja Mishra(E1105) </v>
      </c>
      <c r="I106" t="s">
        <v>28</v>
      </c>
      <c r="J106" t="str">
        <f t="shared" si="26"/>
        <v>B@ngalore</v>
      </c>
      <c r="K106" t="s">
        <v>455</v>
      </c>
      <c r="L106" t="str">
        <f t="shared" si="27"/>
        <v>Saturday</v>
      </c>
      <c r="M106" t="str">
        <f t="shared" si="28"/>
        <v>Sat</v>
      </c>
      <c r="N106" t="str">
        <f t="shared" si="29"/>
        <v>day</v>
      </c>
      <c r="O106">
        <f t="shared" si="30"/>
        <v>4</v>
      </c>
      <c r="P106">
        <f t="shared" si="31"/>
        <v>2023</v>
      </c>
      <c r="Q106" t="s">
        <v>456</v>
      </c>
      <c r="R106">
        <f t="shared" si="32"/>
        <v>8</v>
      </c>
      <c r="S106">
        <f t="shared" si="33"/>
        <v>20</v>
      </c>
      <c r="T106">
        <f t="shared" si="34"/>
        <v>47</v>
      </c>
      <c r="U106">
        <v>80980</v>
      </c>
      <c r="V106">
        <v>70996</v>
      </c>
      <c r="W106" t="str">
        <f t="shared" si="35"/>
        <v>High Target</v>
      </c>
      <c r="X106" t="str">
        <f t="shared" si="36"/>
        <v>Medium Target</v>
      </c>
      <c r="Y106" t="s">
        <v>169</v>
      </c>
      <c r="Z106" t="str">
        <f t="shared" si="37"/>
        <v>DETAILED ANALYSIS</v>
      </c>
      <c r="AA106" t="str">
        <f t="shared" si="38"/>
        <v>detailed analysis</v>
      </c>
      <c r="AB106" t="str">
        <f t="shared" si="39"/>
        <v>Detailed Analysis</v>
      </c>
    </row>
    <row r="107" spans="1:28">
      <c r="A107" t="s">
        <v>457</v>
      </c>
      <c r="B107" t="s">
        <v>458</v>
      </c>
      <c r="C107">
        <f t="shared" si="22"/>
        <v>11</v>
      </c>
      <c r="D107" t="s">
        <v>27</v>
      </c>
      <c r="E107" t="str">
        <f t="shared" si="21"/>
        <v>Nidhi Kumar(E1106) - Marketing</v>
      </c>
      <c r="F107" t="str">
        <f t="shared" si="23"/>
        <v>Marketing</v>
      </c>
      <c r="G107">
        <f t="shared" si="24"/>
        <v>20</v>
      </c>
      <c r="H107" t="str">
        <f t="shared" si="25"/>
        <v xml:space="preserve">Nidhi Kumar(E1106) </v>
      </c>
      <c r="I107" t="s">
        <v>73</v>
      </c>
      <c r="J107" t="str">
        <f t="shared" si="26"/>
        <v>Mumb@i</v>
      </c>
      <c r="K107" t="s">
        <v>459</v>
      </c>
      <c r="L107" t="str">
        <f t="shared" si="27"/>
        <v>Thursday</v>
      </c>
      <c r="M107" t="str">
        <f t="shared" si="28"/>
        <v>Thu</v>
      </c>
      <c r="N107" t="str">
        <f t="shared" si="29"/>
        <v>day</v>
      </c>
      <c r="O107">
        <f t="shared" si="30"/>
        <v>9</v>
      </c>
      <c r="P107">
        <f t="shared" si="31"/>
        <v>2021</v>
      </c>
      <c r="Q107" t="s">
        <v>460</v>
      </c>
      <c r="R107">
        <f t="shared" si="32"/>
        <v>10</v>
      </c>
      <c r="S107">
        <f t="shared" si="33"/>
        <v>37</v>
      </c>
      <c r="T107">
        <f t="shared" si="34"/>
        <v>21</v>
      </c>
      <c r="U107">
        <v>88573</v>
      </c>
      <c r="V107">
        <v>96996</v>
      </c>
      <c r="W107" t="str">
        <f t="shared" si="35"/>
        <v>High Target</v>
      </c>
      <c r="X107" t="str">
        <f t="shared" si="36"/>
        <v>High Target</v>
      </c>
      <c r="Y107" t="s">
        <v>214</v>
      </c>
      <c r="Z107" t="str">
        <f t="shared" si="37"/>
        <v>POSITIVE ATTITUDE</v>
      </c>
      <c r="AA107" t="str">
        <f t="shared" si="38"/>
        <v>positive attitude</v>
      </c>
      <c r="AB107" t="str">
        <f t="shared" si="39"/>
        <v>Positive Attitude</v>
      </c>
    </row>
    <row r="108" spans="1:28">
      <c r="A108" t="s">
        <v>461</v>
      </c>
      <c r="B108" t="s">
        <v>462</v>
      </c>
      <c r="C108">
        <f t="shared" si="22"/>
        <v>13</v>
      </c>
      <c r="D108" t="s">
        <v>12</v>
      </c>
      <c r="E108" t="str">
        <f t="shared" si="21"/>
        <v>Isha Malhotra(E1107) - Sales</v>
      </c>
      <c r="F108" t="str">
        <f t="shared" si="23"/>
        <v>Sales</v>
      </c>
      <c r="G108">
        <f t="shared" si="24"/>
        <v>22</v>
      </c>
      <c r="H108" t="str">
        <f t="shared" si="25"/>
        <v xml:space="preserve">Isha Malhotra(E1107) </v>
      </c>
      <c r="I108" t="s">
        <v>80</v>
      </c>
      <c r="J108" t="str">
        <f t="shared" si="26"/>
        <v>Ahmed@bad</v>
      </c>
      <c r="K108" t="s">
        <v>463</v>
      </c>
      <c r="L108" t="str">
        <f t="shared" si="27"/>
        <v>Monday</v>
      </c>
      <c r="M108" t="str">
        <f t="shared" si="28"/>
        <v>Mon</v>
      </c>
      <c r="N108" t="str">
        <f t="shared" si="29"/>
        <v>day</v>
      </c>
      <c r="O108">
        <f t="shared" si="30"/>
        <v>2</v>
      </c>
      <c r="P108">
        <f t="shared" si="31"/>
        <v>2021</v>
      </c>
      <c r="Q108" t="s">
        <v>464</v>
      </c>
      <c r="R108">
        <f t="shared" si="32"/>
        <v>10</v>
      </c>
      <c r="S108">
        <f t="shared" si="33"/>
        <v>9</v>
      </c>
      <c r="T108">
        <f t="shared" si="34"/>
        <v>26</v>
      </c>
      <c r="U108">
        <v>92193</v>
      </c>
      <c r="V108">
        <v>97077</v>
      </c>
      <c r="W108" t="str">
        <f t="shared" si="35"/>
        <v>High Target</v>
      </c>
      <c r="X108" t="str">
        <f t="shared" si="36"/>
        <v>High Target</v>
      </c>
      <c r="Y108" t="s">
        <v>38</v>
      </c>
      <c r="Z108" t="str">
        <f t="shared" si="37"/>
        <v>GOOD COMMUNICATION</v>
      </c>
      <c r="AA108" t="str">
        <f t="shared" si="38"/>
        <v>good communication</v>
      </c>
      <c r="AB108" t="str">
        <f t="shared" si="39"/>
        <v>Good Communication</v>
      </c>
    </row>
    <row r="109" spans="1:28">
      <c r="A109" t="s">
        <v>465</v>
      </c>
      <c r="B109" t="s">
        <v>466</v>
      </c>
      <c r="C109">
        <f t="shared" si="22"/>
        <v>11</v>
      </c>
      <c r="D109" t="s">
        <v>42</v>
      </c>
      <c r="E109" t="str">
        <f t="shared" si="21"/>
        <v>Kavita Shah(E1108) - Finance</v>
      </c>
      <c r="F109" t="str">
        <f t="shared" si="23"/>
        <v>Finance</v>
      </c>
      <c r="G109">
        <f t="shared" si="24"/>
        <v>20</v>
      </c>
      <c r="H109" t="str">
        <f t="shared" si="25"/>
        <v xml:space="preserve">Kavita Shah(E1108) </v>
      </c>
      <c r="I109" t="s">
        <v>90</v>
      </c>
      <c r="J109" t="str">
        <f t="shared" si="26"/>
        <v>Kolk@ta</v>
      </c>
      <c r="K109" t="s">
        <v>467</v>
      </c>
      <c r="L109" t="str">
        <f t="shared" si="27"/>
        <v>Friday</v>
      </c>
      <c r="M109" t="str">
        <f t="shared" si="28"/>
        <v>Fri</v>
      </c>
      <c r="N109" t="str">
        <f t="shared" si="29"/>
        <v>day</v>
      </c>
      <c r="O109">
        <f t="shared" si="30"/>
        <v>8</v>
      </c>
      <c r="P109">
        <f t="shared" si="31"/>
        <v>2024</v>
      </c>
      <c r="Q109" t="s">
        <v>468</v>
      </c>
      <c r="R109">
        <f t="shared" si="32"/>
        <v>8</v>
      </c>
      <c r="S109">
        <f t="shared" si="33"/>
        <v>54</v>
      </c>
      <c r="T109">
        <f t="shared" si="34"/>
        <v>21</v>
      </c>
      <c r="U109">
        <v>115830</v>
      </c>
      <c r="V109">
        <v>95859</v>
      </c>
      <c r="W109" t="str">
        <f t="shared" si="35"/>
        <v>High Target</v>
      </c>
      <c r="X109" t="str">
        <f t="shared" si="36"/>
        <v>High Target</v>
      </c>
      <c r="Y109" t="s">
        <v>169</v>
      </c>
      <c r="Z109" t="str">
        <f t="shared" si="37"/>
        <v>DETAILED ANALYSIS</v>
      </c>
      <c r="AA109" t="str">
        <f t="shared" si="38"/>
        <v>detailed analysis</v>
      </c>
      <c r="AB109" t="str">
        <f t="shared" si="39"/>
        <v>Detailed Analysis</v>
      </c>
    </row>
    <row r="110" spans="1:28">
      <c r="A110" t="s">
        <v>469</v>
      </c>
      <c r="B110" t="s">
        <v>470</v>
      </c>
      <c r="C110">
        <f t="shared" si="22"/>
        <v>13</v>
      </c>
      <c r="D110" t="s">
        <v>12</v>
      </c>
      <c r="E110" t="str">
        <f t="shared" si="21"/>
        <v>Rohan Agarwal(E1109) - Sales</v>
      </c>
      <c r="F110" t="str">
        <f t="shared" si="23"/>
        <v>Sales</v>
      </c>
      <c r="G110">
        <f t="shared" si="24"/>
        <v>22</v>
      </c>
      <c r="H110" t="str">
        <f t="shared" si="25"/>
        <v xml:space="preserve">Rohan Agarwal(E1109) </v>
      </c>
      <c r="I110" t="s">
        <v>20</v>
      </c>
      <c r="J110" t="str">
        <f t="shared" si="26"/>
        <v>Pune</v>
      </c>
      <c r="K110" t="s">
        <v>471</v>
      </c>
      <c r="L110" t="str">
        <f t="shared" si="27"/>
        <v>Tuesday</v>
      </c>
      <c r="M110" t="str">
        <f t="shared" si="28"/>
        <v>Tue</v>
      </c>
      <c r="N110" t="str">
        <f t="shared" si="29"/>
        <v>day</v>
      </c>
      <c r="O110">
        <f t="shared" si="30"/>
        <v>4</v>
      </c>
      <c r="P110">
        <f t="shared" si="31"/>
        <v>2022</v>
      </c>
      <c r="Q110" t="s">
        <v>472</v>
      </c>
      <c r="R110">
        <f t="shared" si="32"/>
        <v>10</v>
      </c>
      <c r="S110">
        <f t="shared" si="33"/>
        <v>43</v>
      </c>
      <c r="T110">
        <f t="shared" si="34"/>
        <v>58</v>
      </c>
      <c r="U110">
        <v>58741</v>
      </c>
      <c r="V110">
        <v>58833</v>
      </c>
      <c r="W110" t="str">
        <f t="shared" si="35"/>
        <v>High Target</v>
      </c>
      <c r="X110" t="str">
        <f t="shared" si="36"/>
        <v>Low Target</v>
      </c>
      <c r="Y110" t="s">
        <v>23</v>
      </c>
      <c r="Z110" t="str">
        <f t="shared" si="37"/>
        <v>FAST DELIVERY</v>
      </c>
      <c r="AA110" t="str">
        <f t="shared" si="38"/>
        <v>fast delivery</v>
      </c>
      <c r="AB110" t="str">
        <f t="shared" si="39"/>
        <v>Fast Delivery</v>
      </c>
    </row>
    <row r="111" spans="1:28">
      <c r="A111" t="s">
        <v>473</v>
      </c>
      <c r="B111" t="s">
        <v>474</v>
      </c>
      <c r="C111">
        <f t="shared" si="22"/>
        <v>12</v>
      </c>
      <c r="D111" t="s">
        <v>12</v>
      </c>
      <c r="E111" t="str">
        <f t="shared" si="21"/>
        <v>Rahul Chopra(E1110) - Sales</v>
      </c>
      <c r="F111" t="str">
        <f t="shared" si="23"/>
        <v>Sales</v>
      </c>
      <c r="G111">
        <f t="shared" si="24"/>
        <v>21</v>
      </c>
      <c r="H111" t="str">
        <f t="shared" si="25"/>
        <v xml:space="preserve">Rahul Chopra(E1110) </v>
      </c>
      <c r="I111" t="s">
        <v>20</v>
      </c>
      <c r="J111" t="str">
        <f t="shared" si="26"/>
        <v>Pune</v>
      </c>
      <c r="K111" t="s">
        <v>475</v>
      </c>
      <c r="L111" t="str">
        <f t="shared" si="27"/>
        <v>Wednesday</v>
      </c>
      <c r="M111" t="str">
        <f t="shared" si="28"/>
        <v>Wed</v>
      </c>
      <c r="N111" t="str">
        <f t="shared" si="29"/>
        <v>day</v>
      </c>
      <c r="O111">
        <f t="shared" si="30"/>
        <v>6</v>
      </c>
      <c r="P111">
        <f t="shared" si="31"/>
        <v>2023</v>
      </c>
      <c r="Q111" t="s">
        <v>476</v>
      </c>
      <c r="R111">
        <f t="shared" si="32"/>
        <v>8</v>
      </c>
      <c r="S111">
        <f t="shared" si="33"/>
        <v>44</v>
      </c>
      <c r="T111">
        <f t="shared" si="34"/>
        <v>19</v>
      </c>
      <c r="U111">
        <v>86103</v>
      </c>
      <c r="V111">
        <v>99206</v>
      </c>
      <c r="W111" t="str">
        <f t="shared" si="35"/>
        <v>High Target</v>
      </c>
      <c r="X111" t="str">
        <f t="shared" si="36"/>
        <v>High Target</v>
      </c>
      <c r="Y111" t="s">
        <v>160</v>
      </c>
      <c r="Z111" t="str">
        <f t="shared" si="37"/>
        <v>EXCELLENT SERVICE</v>
      </c>
      <c r="AA111" t="str">
        <f t="shared" si="38"/>
        <v>excellent service</v>
      </c>
      <c r="AB111" t="str">
        <f t="shared" si="39"/>
        <v>Excellent Service</v>
      </c>
    </row>
    <row r="112" spans="1:28">
      <c r="A112" t="s">
        <v>477</v>
      </c>
      <c r="B112" t="s">
        <v>72</v>
      </c>
      <c r="C112">
        <f t="shared" si="22"/>
        <v>11</v>
      </c>
      <c r="D112" t="s">
        <v>42</v>
      </c>
      <c r="E112" t="str">
        <f t="shared" si="21"/>
        <v>Rohan Patel(E1111) - Finance</v>
      </c>
      <c r="F112" t="str">
        <f t="shared" si="23"/>
        <v>Finance</v>
      </c>
      <c r="G112">
        <f t="shared" si="24"/>
        <v>20</v>
      </c>
      <c r="H112" t="str">
        <f t="shared" si="25"/>
        <v xml:space="preserve">Rohan Patel(E1111) </v>
      </c>
      <c r="I112" t="s">
        <v>35</v>
      </c>
      <c r="J112" t="str">
        <f t="shared" si="26"/>
        <v>Hyder@bad</v>
      </c>
      <c r="K112" t="s">
        <v>478</v>
      </c>
      <c r="L112" t="str">
        <f t="shared" si="27"/>
        <v>Tuesday</v>
      </c>
      <c r="M112" t="str">
        <f t="shared" si="28"/>
        <v>Tue</v>
      </c>
      <c r="N112" t="str">
        <f t="shared" si="29"/>
        <v>day</v>
      </c>
      <c r="O112">
        <f t="shared" si="30"/>
        <v>2</v>
      </c>
      <c r="P112">
        <f t="shared" si="31"/>
        <v>2023</v>
      </c>
      <c r="Q112" t="s">
        <v>479</v>
      </c>
      <c r="R112">
        <f t="shared" si="32"/>
        <v>9</v>
      </c>
      <c r="S112">
        <f t="shared" si="33"/>
        <v>9</v>
      </c>
      <c r="T112">
        <f t="shared" si="34"/>
        <v>15</v>
      </c>
      <c r="U112">
        <v>86814</v>
      </c>
      <c r="V112">
        <v>74810</v>
      </c>
      <c r="W112" t="str">
        <f t="shared" si="35"/>
        <v>High Target</v>
      </c>
      <c r="X112" t="str">
        <f t="shared" si="36"/>
        <v>Medium Target</v>
      </c>
      <c r="Y112" t="s">
        <v>16</v>
      </c>
      <c r="Z112" t="str">
        <f t="shared" si="37"/>
        <v>EXCELLENT LEADERSHIP</v>
      </c>
      <c r="AA112" t="str">
        <f t="shared" si="38"/>
        <v>excellent leadership</v>
      </c>
      <c r="AB112" t="str">
        <f t="shared" si="39"/>
        <v>Excellent Leadership</v>
      </c>
    </row>
    <row r="113" spans="1:28">
      <c r="A113" t="s">
        <v>480</v>
      </c>
      <c r="B113" t="s">
        <v>481</v>
      </c>
      <c r="C113">
        <f t="shared" si="22"/>
        <v>11</v>
      </c>
      <c r="D113" t="s">
        <v>54</v>
      </c>
      <c r="E113" t="str">
        <f t="shared" si="21"/>
        <v>Nidhi Joshi(E1112) - HR</v>
      </c>
      <c r="F113" t="str">
        <f t="shared" si="23"/>
        <v>HR</v>
      </c>
      <c r="G113">
        <f t="shared" si="24"/>
        <v>20</v>
      </c>
      <c r="H113" t="str">
        <f t="shared" si="25"/>
        <v xml:space="preserve">Nidhi Joshi(E1112) </v>
      </c>
      <c r="I113" t="s">
        <v>66</v>
      </c>
      <c r="J113" t="str">
        <f t="shared" si="26"/>
        <v>Delhi</v>
      </c>
      <c r="K113" t="s">
        <v>482</v>
      </c>
      <c r="L113" t="str">
        <f t="shared" si="27"/>
        <v>Friday</v>
      </c>
      <c r="M113" t="str">
        <f t="shared" si="28"/>
        <v>Fri</v>
      </c>
      <c r="N113" t="str">
        <f t="shared" si="29"/>
        <v>day</v>
      </c>
      <c r="O113">
        <f t="shared" si="30"/>
        <v>6</v>
      </c>
      <c r="P113">
        <f t="shared" si="31"/>
        <v>2021</v>
      </c>
      <c r="Q113" t="s">
        <v>483</v>
      </c>
      <c r="R113">
        <f t="shared" si="32"/>
        <v>10</v>
      </c>
      <c r="S113">
        <f t="shared" si="33"/>
        <v>55</v>
      </c>
      <c r="T113">
        <f t="shared" si="34"/>
        <v>24</v>
      </c>
      <c r="U113">
        <v>81396</v>
      </c>
      <c r="V113">
        <v>80613</v>
      </c>
      <c r="W113" t="str">
        <f t="shared" si="35"/>
        <v>High Target</v>
      </c>
      <c r="X113" t="str">
        <f t="shared" si="36"/>
        <v>High Target</v>
      </c>
      <c r="Y113" t="s">
        <v>57</v>
      </c>
      <c r="Z113" t="str">
        <f t="shared" si="37"/>
        <v>HELPFUL ATTITUDE</v>
      </c>
      <c r="AA113" t="str">
        <f t="shared" si="38"/>
        <v>helpful attitude</v>
      </c>
      <c r="AB113" t="str">
        <f t="shared" si="39"/>
        <v>Helpful Attitude</v>
      </c>
    </row>
    <row r="114" spans="1:28">
      <c r="A114" t="s">
        <v>484</v>
      </c>
      <c r="B114" t="s">
        <v>485</v>
      </c>
      <c r="C114">
        <f t="shared" si="22"/>
        <v>14</v>
      </c>
      <c r="D114" t="s">
        <v>54</v>
      </c>
      <c r="E114" t="str">
        <f t="shared" si="21"/>
        <v>Madhuri Mishra(E1113) - HR</v>
      </c>
      <c r="F114" t="str">
        <f t="shared" si="23"/>
        <v>HR</v>
      </c>
      <c r="G114">
        <f t="shared" si="24"/>
        <v>23</v>
      </c>
      <c r="H114" t="str">
        <f t="shared" si="25"/>
        <v xml:space="preserve">Madhuri Mishra(E1113) </v>
      </c>
      <c r="I114" t="s">
        <v>28</v>
      </c>
      <c r="J114" t="str">
        <f t="shared" si="26"/>
        <v>B@ngalore</v>
      </c>
      <c r="K114" t="s">
        <v>486</v>
      </c>
      <c r="L114" t="str">
        <f t="shared" si="27"/>
        <v>Thursday</v>
      </c>
      <c r="M114" t="str">
        <f t="shared" si="28"/>
        <v>Thu</v>
      </c>
      <c r="N114" t="str">
        <f t="shared" si="29"/>
        <v>day</v>
      </c>
      <c r="O114">
        <f t="shared" si="30"/>
        <v>8</v>
      </c>
      <c r="P114">
        <f t="shared" si="31"/>
        <v>2023</v>
      </c>
      <c r="Q114" t="s">
        <v>487</v>
      </c>
      <c r="R114">
        <f t="shared" si="32"/>
        <v>10</v>
      </c>
      <c r="S114">
        <f t="shared" si="33"/>
        <v>16</v>
      </c>
      <c r="T114">
        <f t="shared" si="34"/>
        <v>29</v>
      </c>
      <c r="U114">
        <v>42348</v>
      </c>
      <c r="V114">
        <v>56733</v>
      </c>
      <c r="W114" t="str">
        <f t="shared" si="35"/>
        <v>High Target</v>
      </c>
      <c r="X114" t="str">
        <f t="shared" si="36"/>
        <v>Low Target</v>
      </c>
      <c r="Y114" t="s">
        <v>488</v>
      </c>
      <c r="Z114" t="str">
        <f t="shared" si="37"/>
        <v>GREAT SUPPORT</v>
      </c>
      <c r="AA114" t="str">
        <f t="shared" si="38"/>
        <v>great support</v>
      </c>
      <c r="AB114" t="str">
        <f t="shared" si="39"/>
        <v>Great Support</v>
      </c>
    </row>
    <row r="115" spans="1:28">
      <c r="A115" t="s">
        <v>489</v>
      </c>
      <c r="B115" t="s">
        <v>490</v>
      </c>
      <c r="C115">
        <f t="shared" si="22"/>
        <v>14</v>
      </c>
      <c r="D115" t="s">
        <v>42</v>
      </c>
      <c r="E115" t="str">
        <f t="shared" si="21"/>
        <v>Tanya Malhotra(E1114) - Finance</v>
      </c>
      <c r="F115" t="str">
        <f t="shared" si="23"/>
        <v>Finance</v>
      </c>
      <c r="G115">
        <f t="shared" si="24"/>
        <v>23</v>
      </c>
      <c r="H115" t="str">
        <f t="shared" si="25"/>
        <v xml:space="preserve">Tanya Malhotra(E1114) </v>
      </c>
      <c r="I115" t="s">
        <v>66</v>
      </c>
      <c r="J115" t="str">
        <f t="shared" si="26"/>
        <v>Delhi</v>
      </c>
      <c r="K115" t="s">
        <v>491</v>
      </c>
      <c r="L115" t="str">
        <f t="shared" si="27"/>
        <v>Tuesday</v>
      </c>
      <c r="M115" t="str">
        <f t="shared" si="28"/>
        <v>Tue</v>
      </c>
      <c r="N115" t="str">
        <f t="shared" si="29"/>
        <v>day</v>
      </c>
      <c r="O115">
        <f t="shared" si="30"/>
        <v>6</v>
      </c>
      <c r="P115">
        <f t="shared" si="31"/>
        <v>2021</v>
      </c>
      <c r="Q115" t="s">
        <v>492</v>
      </c>
      <c r="R115">
        <f t="shared" si="32"/>
        <v>9</v>
      </c>
      <c r="S115">
        <f t="shared" si="33"/>
        <v>22</v>
      </c>
      <c r="T115">
        <f t="shared" si="34"/>
        <v>37</v>
      </c>
      <c r="U115">
        <v>72412</v>
      </c>
      <c r="V115">
        <v>59605</v>
      </c>
      <c r="W115" t="str">
        <f t="shared" si="35"/>
        <v>High Target</v>
      </c>
      <c r="X115" t="str">
        <f t="shared" si="36"/>
        <v>Low Target</v>
      </c>
      <c r="Y115" t="s">
        <v>23</v>
      </c>
      <c r="Z115" t="str">
        <f t="shared" si="37"/>
        <v>FAST DELIVERY</v>
      </c>
      <c r="AA115" t="str">
        <f t="shared" si="38"/>
        <v>fast delivery</v>
      </c>
      <c r="AB115" t="str">
        <f t="shared" si="39"/>
        <v>Fast Delivery</v>
      </c>
    </row>
    <row r="116" spans="1:28">
      <c r="A116" t="s">
        <v>493</v>
      </c>
      <c r="B116" t="s">
        <v>494</v>
      </c>
      <c r="C116">
        <f t="shared" si="22"/>
        <v>15</v>
      </c>
      <c r="D116" t="s">
        <v>42</v>
      </c>
      <c r="E116" t="str">
        <f t="shared" si="21"/>
        <v>Vikram Malhotra(E1115) - Finance</v>
      </c>
      <c r="F116" t="str">
        <f t="shared" si="23"/>
        <v>Finance</v>
      </c>
      <c r="G116">
        <f t="shared" si="24"/>
        <v>24</v>
      </c>
      <c r="H116" t="str">
        <f t="shared" si="25"/>
        <v xml:space="preserve">Vikram Malhotra(E1115) </v>
      </c>
      <c r="I116" t="s">
        <v>28</v>
      </c>
      <c r="J116" t="str">
        <f t="shared" si="26"/>
        <v>B@ngalore</v>
      </c>
      <c r="K116" t="s">
        <v>495</v>
      </c>
      <c r="L116" t="str">
        <f t="shared" si="27"/>
        <v>Monday</v>
      </c>
      <c r="M116" t="str">
        <f t="shared" si="28"/>
        <v>Mon</v>
      </c>
      <c r="N116" t="str">
        <f t="shared" si="29"/>
        <v>day</v>
      </c>
      <c r="O116">
        <f t="shared" si="30"/>
        <v>2</v>
      </c>
      <c r="P116">
        <f t="shared" si="31"/>
        <v>2023</v>
      </c>
      <c r="Q116" t="s">
        <v>496</v>
      </c>
      <c r="R116">
        <f t="shared" si="32"/>
        <v>9</v>
      </c>
      <c r="S116">
        <f t="shared" si="33"/>
        <v>6</v>
      </c>
      <c r="T116">
        <f t="shared" si="34"/>
        <v>15</v>
      </c>
      <c r="U116">
        <v>73517</v>
      </c>
      <c r="V116">
        <v>64993</v>
      </c>
      <c r="W116" t="str">
        <f t="shared" si="35"/>
        <v>High Target</v>
      </c>
      <c r="X116" t="str">
        <f t="shared" si="36"/>
        <v>Medium Target</v>
      </c>
      <c r="Y116" t="s">
        <v>16</v>
      </c>
      <c r="Z116" t="str">
        <f t="shared" si="37"/>
        <v>EXCELLENT LEADERSHIP</v>
      </c>
      <c r="AA116" t="str">
        <f t="shared" si="38"/>
        <v>excellent leadership</v>
      </c>
      <c r="AB116" t="str">
        <f t="shared" si="39"/>
        <v>Excellent Leadership</v>
      </c>
    </row>
    <row r="117" spans="1:28">
      <c r="A117" t="s">
        <v>497</v>
      </c>
      <c r="B117" t="s">
        <v>498</v>
      </c>
      <c r="C117">
        <f t="shared" si="22"/>
        <v>12</v>
      </c>
      <c r="D117" t="s">
        <v>12</v>
      </c>
      <c r="E117" t="str">
        <f t="shared" si="21"/>
        <v>Anjali Gupta(E1116) - Sales</v>
      </c>
      <c r="F117" t="str">
        <f t="shared" si="23"/>
        <v>Sales</v>
      </c>
      <c r="G117">
        <f t="shared" si="24"/>
        <v>21</v>
      </c>
      <c r="H117" t="str">
        <f t="shared" si="25"/>
        <v xml:space="preserve">Anjali Gupta(E1116) </v>
      </c>
      <c r="I117" t="s">
        <v>90</v>
      </c>
      <c r="J117" t="str">
        <f t="shared" si="26"/>
        <v>Kolk@ta</v>
      </c>
      <c r="K117" t="s">
        <v>499</v>
      </c>
      <c r="L117" t="str">
        <f t="shared" si="27"/>
        <v>Sunday</v>
      </c>
      <c r="M117" t="str">
        <f t="shared" si="28"/>
        <v>Sun</v>
      </c>
      <c r="N117" t="str">
        <f t="shared" si="29"/>
        <v>day</v>
      </c>
      <c r="O117">
        <f t="shared" si="30"/>
        <v>7</v>
      </c>
      <c r="P117">
        <f t="shared" si="31"/>
        <v>2022</v>
      </c>
      <c r="Q117" t="s">
        <v>500</v>
      </c>
      <c r="R117">
        <f t="shared" si="32"/>
        <v>8</v>
      </c>
      <c r="S117">
        <f t="shared" si="33"/>
        <v>36</v>
      </c>
      <c r="T117">
        <f t="shared" si="34"/>
        <v>55</v>
      </c>
      <c r="U117">
        <v>73158</v>
      </c>
      <c r="V117">
        <v>84944</v>
      </c>
      <c r="W117" t="str">
        <f t="shared" si="35"/>
        <v>High Target</v>
      </c>
      <c r="X117" t="str">
        <f t="shared" si="36"/>
        <v>High Target</v>
      </c>
      <c r="Y117" t="s">
        <v>488</v>
      </c>
      <c r="Z117" t="str">
        <f t="shared" si="37"/>
        <v>GREAT SUPPORT</v>
      </c>
      <c r="AA117" t="str">
        <f t="shared" si="38"/>
        <v>great support</v>
      </c>
      <c r="AB117" t="str">
        <f t="shared" si="39"/>
        <v>Great Support</v>
      </c>
    </row>
    <row r="118" spans="1:28">
      <c r="A118" t="s">
        <v>501</v>
      </c>
      <c r="B118" t="s">
        <v>502</v>
      </c>
      <c r="C118">
        <f t="shared" si="22"/>
        <v>14</v>
      </c>
      <c r="D118" t="s">
        <v>42</v>
      </c>
      <c r="E118" t="str">
        <f t="shared" si="21"/>
        <v>Shreya Agarwal(E1117) - Finance</v>
      </c>
      <c r="F118" t="str">
        <f t="shared" si="23"/>
        <v>Finance</v>
      </c>
      <c r="G118">
        <f t="shared" si="24"/>
        <v>23</v>
      </c>
      <c r="H118" t="str">
        <f t="shared" si="25"/>
        <v xml:space="preserve">Shreya Agarwal(E1117) </v>
      </c>
      <c r="I118" t="s">
        <v>28</v>
      </c>
      <c r="J118" t="str">
        <f t="shared" si="26"/>
        <v>B@ngalore</v>
      </c>
      <c r="K118" t="s">
        <v>503</v>
      </c>
      <c r="L118" t="str">
        <f t="shared" si="27"/>
        <v>Tuesday</v>
      </c>
      <c r="M118" t="str">
        <f t="shared" si="28"/>
        <v>Tue</v>
      </c>
      <c r="N118" t="str">
        <f t="shared" si="29"/>
        <v>day</v>
      </c>
      <c r="O118">
        <f t="shared" si="30"/>
        <v>5</v>
      </c>
      <c r="P118">
        <f t="shared" si="31"/>
        <v>2024</v>
      </c>
      <c r="Q118" t="s">
        <v>504</v>
      </c>
      <c r="R118">
        <f t="shared" si="32"/>
        <v>9</v>
      </c>
      <c r="S118">
        <f t="shared" si="33"/>
        <v>14</v>
      </c>
      <c r="T118">
        <f t="shared" si="34"/>
        <v>40</v>
      </c>
      <c r="U118">
        <v>53885</v>
      </c>
      <c r="V118">
        <v>52460</v>
      </c>
      <c r="W118" t="str">
        <f t="shared" si="35"/>
        <v>High Target</v>
      </c>
      <c r="X118" t="str">
        <f t="shared" si="36"/>
        <v>Low Target</v>
      </c>
      <c r="Y118" t="s">
        <v>69</v>
      </c>
      <c r="Z118" t="str">
        <f t="shared" si="37"/>
        <v>GOOD TEAMWORK</v>
      </c>
      <c r="AA118" t="str">
        <f t="shared" si="38"/>
        <v>good teamwork</v>
      </c>
      <c r="AB118" t="str">
        <f t="shared" si="39"/>
        <v>Good Teamwork</v>
      </c>
    </row>
    <row r="119" spans="1:28">
      <c r="A119" t="s">
        <v>505</v>
      </c>
      <c r="B119" t="s">
        <v>506</v>
      </c>
      <c r="C119">
        <f t="shared" si="22"/>
        <v>11</v>
      </c>
      <c r="D119" t="s">
        <v>12</v>
      </c>
      <c r="E119" t="str">
        <f t="shared" si="21"/>
        <v>Harsh Kumar(E1118) - Sales</v>
      </c>
      <c r="F119" t="str">
        <f t="shared" si="23"/>
        <v>Sales</v>
      </c>
      <c r="G119">
        <f t="shared" si="24"/>
        <v>20</v>
      </c>
      <c r="H119" t="str">
        <f t="shared" si="25"/>
        <v xml:space="preserve">Harsh Kumar(E1118) </v>
      </c>
      <c r="I119" t="s">
        <v>73</v>
      </c>
      <c r="J119" t="str">
        <f t="shared" si="26"/>
        <v>Mumb@i</v>
      </c>
      <c r="K119" t="s">
        <v>507</v>
      </c>
      <c r="L119" t="str">
        <f t="shared" si="27"/>
        <v>Sunday</v>
      </c>
      <c r="M119" t="str">
        <f t="shared" si="28"/>
        <v>Sun</v>
      </c>
      <c r="N119" t="str">
        <f t="shared" si="29"/>
        <v>day</v>
      </c>
      <c r="O119">
        <f t="shared" si="30"/>
        <v>9</v>
      </c>
      <c r="P119">
        <f t="shared" si="31"/>
        <v>2022</v>
      </c>
      <c r="Q119" t="s">
        <v>508</v>
      </c>
      <c r="R119">
        <f t="shared" si="32"/>
        <v>9</v>
      </c>
      <c r="S119">
        <f t="shared" si="33"/>
        <v>2</v>
      </c>
      <c r="T119">
        <f t="shared" si="34"/>
        <v>37</v>
      </c>
      <c r="U119">
        <v>57523</v>
      </c>
      <c r="V119">
        <v>63911</v>
      </c>
      <c r="W119" t="str">
        <f t="shared" si="35"/>
        <v>High Target</v>
      </c>
      <c r="X119" t="str">
        <f t="shared" si="36"/>
        <v>Medium Target</v>
      </c>
      <c r="Y119" t="s">
        <v>38</v>
      </c>
      <c r="Z119" t="str">
        <f t="shared" si="37"/>
        <v>GOOD COMMUNICATION</v>
      </c>
      <c r="AA119" t="str">
        <f t="shared" si="38"/>
        <v>good communication</v>
      </c>
      <c r="AB119" t="str">
        <f t="shared" si="39"/>
        <v>Good Communication</v>
      </c>
    </row>
    <row r="120" spans="1:28">
      <c r="A120" t="s">
        <v>509</v>
      </c>
      <c r="B120" t="s">
        <v>510</v>
      </c>
      <c r="C120">
        <f t="shared" si="22"/>
        <v>13</v>
      </c>
      <c r="D120" t="s">
        <v>42</v>
      </c>
      <c r="E120" t="str">
        <f t="shared" si="21"/>
        <v>Madhuri Gupta(E1119) - Finance</v>
      </c>
      <c r="F120" t="str">
        <f t="shared" si="23"/>
        <v>Finance</v>
      </c>
      <c r="G120">
        <f t="shared" si="24"/>
        <v>22</v>
      </c>
      <c r="H120" t="str">
        <f t="shared" si="25"/>
        <v xml:space="preserve">Madhuri Gupta(E1119) </v>
      </c>
      <c r="I120" t="s">
        <v>90</v>
      </c>
      <c r="J120" t="str">
        <f t="shared" si="26"/>
        <v>Kolk@ta</v>
      </c>
      <c r="K120" t="s">
        <v>511</v>
      </c>
      <c r="L120" t="str">
        <f t="shared" si="27"/>
        <v>Sunday</v>
      </c>
      <c r="M120" t="str">
        <f t="shared" si="28"/>
        <v>Sun</v>
      </c>
      <c r="N120" t="str">
        <f t="shared" si="29"/>
        <v>day</v>
      </c>
      <c r="O120">
        <f t="shared" si="30"/>
        <v>12</v>
      </c>
      <c r="P120">
        <f t="shared" si="31"/>
        <v>2021</v>
      </c>
      <c r="Q120" t="s">
        <v>512</v>
      </c>
      <c r="R120">
        <f t="shared" si="32"/>
        <v>8</v>
      </c>
      <c r="S120">
        <f t="shared" si="33"/>
        <v>8</v>
      </c>
      <c r="T120">
        <f t="shared" si="34"/>
        <v>50</v>
      </c>
      <c r="U120">
        <v>84326</v>
      </c>
      <c r="V120">
        <v>75350</v>
      </c>
      <c r="W120" t="str">
        <f t="shared" si="35"/>
        <v>High Target</v>
      </c>
      <c r="X120" t="str">
        <f t="shared" si="36"/>
        <v>Medium Target</v>
      </c>
      <c r="Y120" t="s">
        <v>45</v>
      </c>
      <c r="Z120" t="str">
        <f t="shared" si="37"/>
        <v>STRONG PRESENTATION</v>
      </c>
      <c r="AA120" t="str">
        <f t="shared" si="38"/>
        <v>strong presentation</v>
      </c>
      <c r="AB120" t="str">
        <f t="shared" si="39"/>
        <v>Strong Presentation</v>
      </c>
    </row>
    <row r="121" spans="1:28">
      <c r="A121" t="s">
        <v>513</v>
      </c>
      <c r="B121" t="s">
        <v>514</v>
      </c>
      <c r="C121">
        <f t="shared" si="22"/>
        <v>11</v>
      </c>
      <c r="D121" t="s">
        <v>54</v>
      </c>
      <c r="E121" t="str">
        <f t="shared" si="21"/>
        <v>Aakash Shah(E1120) - HR</v>
      </c>
      <c r="F121" t="str">
        <f t="shared" si="23"/>
        <v>HR</v>
      </c>
      <c r="G121">
        <f t="shared" si="24"/>
        <v>20</v>
      </c>
      <c r="H121" t="str">
        <f t="shared" si="25"/>
        <v xml:space="preserve">Aakash Shah(E1120) </v>
      </c>
      <c r="I121" t="s">
        <v>13</v>
      </c>
      <c r="J121" t="str">
        <f t="shared" si="26"/>
        <v>Chenn@i</v>
      </c>
      <c r="K121" t="s">
        <v>515</v>
      </c>
      <c r="L121" t="str">
        <f t="shared" si="27"/>
        <v>Thursday</v>
      </c>
      <c r="M121" t="str">
        <f t="shared" si="28"/>
        <v>Thu</v>
      </c>
      <c r="N121" t="str">
        <f t="shared" si="29"/>
        <v>day</v>
      </c>
      <c r="O121">
        <f t="shared" si="30"/>
        <v>9</v>
      </c>
      <c r="P121">
        <f t="shared" si="31"/>
        <v>2023</v>
      </c>
      <c r="Q121" t="s">
        <v>516</v>
      </c>
      <c r="R121">
        <f t="shared" si="32"/>
        <v>9</v>
      </c>
      <c r="S121">
        <f t="shared" si="33"/>
        <v>47</v>
      </c>
      <c r="T121">
        <f t="shared" si="34"/>
        <v>55</v>
      </c>
      <c r="U121">
        <v>54745</v>
      </c>
      <c r="V121">
        <v>62198</v>
      </c>
      <c r="W121" t="str">
        <f t="shared" si="35"/>
        <v>High Target</v>
      </c>
      <c r="X121" t="str">
        <f t="shared" si="36"/>
        <v>Medium Target</v>
      </c>
      <c r="Y121" t="s">
        <v>57</v>
      </c>
      <c r="Z121" t="str">
        <f t="shared" si="37"/>
        <v>HELPFUL ATTITUDE</v>
      </c>
      <c r="AA121" t="str">
        <f t="shared" si="38"/>
        <v>helpful attitude</v>
      </c>
      <c r="AB121" t="str">
        <f t="shared" si="39"/>
        <v>Helpful Attitude</v>
      </c>
    </row>
    <row r="122" spans="1:28">
      <c r="A122" t="s">
        <v>517</v>
      </c>
      <c r="B122" t="s">
        <v>518</v>
      </c>
      <c r="C122">
        <f t="shared" si="22"/>
        <v>11</v>
      </c>
      <c r="D122" t="s">
        <v>54</v>
      </c>
      <c r="E122" t="str">
        <f t="shared" si="21"/>
        <v>Rahul Kumar(E1121) - HR</v>
      </c>
      <c r="F122" t="str">
        <f t="shared" si="23"/>
        <v>HR</v>
      </c>
      <c r="G122">
        <f t="shared" si="24"/>
        <v>20</v>
      </c>
      <c r="H122" t="str">
        <f t="shared" si="25"/>
        <v xml:space="preserve">Rahul Kumar(E1121) </v>
      </c>
      <c r="I122" t="s">
        <v>90</v>
      </c>
      <c r="J122" t="str">
        <f t="shared" si="26"/>
        <v>Kolk@ta</v>
      </c>
      <c r="K122" t="s">
        <v>519</v>
      </c>
      <c r="L122" t="str">
        <f t="shared" si="27"/>
        <v>Friday</v>
      </c>
      <c r="M122" t="str">
        <f t="shared" si="28"/>
        <v>Fri</v>
      </c>
      <c r="N122" t="str">
        <f t="shared" si="29"/>
        <v>day</v>
      </c>
      <c r="O122">
        <f t="shared" si="30"/>
        <v>2</v>
      </c>
      <c r="P122">
        <f t="shared" si="31"/>
        <v>2024</v>
      </c>
      <c r="Q122" t="s">
        <v>520</v>
      </c>
      <c r="R122">
        <f t="shared" si="32"/>
        <v>9</v>
      </c>
      <c r="S122">
        <f t="shared" si="33"/>
        <v>5</v>
      </c>
      <c r="T122">
        <f t="shared" si="34"/>
        <v>50</v>
      </c>
      <c r="U122">
        <v>51770</v>
      </c>
      <c r="V122">
        <v>65858</v>
      </c>
      <c r="W122" t="str">
        <f t="shared" si="35"/>
        <v>High Target</v>
      </c>
      <c r="X122" t="str">
        <f t="shared" si="36"/>
        <v>Medium Target</v>
      </c>
      <c r="Y122" t="s">
        <v>143</v>
      </c>
      <c r="Z122" t="str">
        <f t="shared" si="37"/>
        <v>NEEDS IMPROVEMENT</v>
      </c>
      <c r="AA122" t="str">
        <f t="shared" si="38"/>
        <v>needs improvement</v>
      </c>
      <c r="AB122" t="str">
        <f t="shared" si="39"/>
        <v>Needs Improvement</v>
      </c>
    </row>
    <row r="123" spans="1:28">
      <c r="A123" t="s">
        <v>521</v>
      </c>
      <c r="B123" t="s">
        <v>522</v>
      </c>
      <c r="C123">
        <f t="shared" si="22"/>
        <v>12</v>
      </c>
      <c r="D123" t="s">
        <v>27</v>
      </c>
      <c r="E123" t="str">
        <f t="shared" si="21"/>
        <v>Ritika Singh(E1122) - Marketing</v>
      </c>
      <c r="F123" t="str">
        <f t="shared" si="23"/>
        <v>Marketing</v>
      </c>
      <c r="G123">
        <f t="shared" si="24"/>
        <v>21</v>
      </c>
      <c r="H123" t="str">
        <f t="shared" si="25"/>
        <v xml:space="preserve">Ritika Singh(E1122) </v>
      </c>
      <c r="I123" t="s">
        <v>35</v>
      </c>
      <c r="J123" t="str">
        <f t="shared" si="26"/>
        <v>Hyder@bad</v>
      </c>
      <c r="K123" t="s">
        <v>523</v>
      </c>
      <c r="L123" t="str">
        <f t="shared" si="27"/>
        <v>Wednesday</v>
      </c>
      <c r="M123" t="str">
        <f t="shared" si="28"/>
        <v>Wed</v>
      </c>
      <c r="N123" t="str">
        <f t="shared" si="29"/>
        <v>day</v>
      </c>
      <c r="O123">
        <f t="shared" si="30"/>
        <v>10</v>
      </c>
      <c r="P123">
        <f t="shared" si="31"/>
        <v>2024</v>
      </c>
      <c r="Q123" t="s">
        <v>524</v>
      </c>
      <c r="R123">
        <f t="shared" si="32"/>
        <v>10</v>
      </c>
      <c r="S123">
        <f t="shared" si="33"/>
        <v>43</v>
      </c>
      <c r="T123">
        <f t="shared" si="34"/>
        <v>16</v>
      </c>
      <c r="U123">
        <v>88279</v>
      </c>
      <c r="V123">
        <v>78309</v>
      </c>
      <c r="W123" t="str">
        <f t="shared" si="35"/>
        <v>High Target</v>
      </c>
      <c r="X123" t="str">
        <f t="shared" si="36"/>
        <v>Medium Target</v>
      </c>
      <c r="Y123" t="s">
        <v>214</v>
      </c>
      <c r="Z123" t="str">
        <f t="shared" si="37"/>
        <v>POSITIVE ATTITUDE</v>
      </c>
      <c r="AA123" t="str">
        <f t="shared" si="38"/>
        <v>positive attitude</v>
      </c>
      <c r="AB123" t="str">
        <f t="shared" si="39"/>
        <v>Positive Attitude</v>
      </c>
    </row>
    <row r="124" spans="1:28">
      <c r="A124" t="s">
        <v>525</v>
      </c>
      <c r="B124" t="s">
        <v>60</v>
      </c>
      <c r="C124">
        <f t="shared" si="22"/>
        <v>10</v>
      </c>
      <c r="D124" t="s">
        <v>12</v>
      </c>
      <c r="E124" t="str">
        <f t="shared" si="21"/>
        <v>Yash Reddy(E1123) - Sales</v>
      </c>
      <c r="F124" t="str">
        <f t="shared" si="23"/>
        <v>Sales</v>
      </c>
      <c r="G124">
        <f t="shared" si="24"/>
        <v>19</v>
      </c>
      <c r="H124" t="str">
        <f t="shared" si="25"/>
        <v xml:space="preserve">Yash Reddy(E1123) </v>
      </c>
      <c r="I124" t="s">
        <v>28</v>
      </c>
      <c r="J124" t="str">
        <f t="shared" si="26"/>
        <v>B@ngalore</v>
      </c>
      <c r="K124" t="s">
        <v>526</v>
      </c>
      <c r="L124" t="str">
        <f t="shared" si="27"/>
        <v>Thursday</v>
      </c>
      <c r="M124" t="str">
        <f t="shared" si="28"/>
        <v>Thu</v>
      </c>
      <c r="N124" t="str">
        <f t="shared" si="29"/>
        <v>day</v>
      </c>
      <c r="O124">
        <f t="shared" si="30"/>
        <v>8</v>
      </c>
      <c r="P124">
        <f t="shared" si="31"/>
        <v>2023</v>
      </c>
      <c r="Q124" t="s">
        <v>527</v>
      </c>
      <c r="R124">
        <f t="shared" si="32"/>
        <v>8</v>
      </c>
      <c r="S124">
        <f t="shared" si="33"/>
        <v>39</v>
      </c>
      <c r="T124">
        <f t="shared" si="34"/>
        <v>56</v>
      </c>
      <c r="U124">
        <v>83288</v>
      </c>
      <c r="V124">
        <v>76792</v>
      </c>
      <c r="W124" t="str">
        <f t="shared" si="35"/>
        <v>High Target</v>
      </c>
      <c r="X124" t="str">
        <f t="shared" si="36"/>
        <v>Medium Target</v>
      </c>
      <c r="Y124" t="s">
        <v>488</v>
      </c>
      <c r="Z124" t="str">
        <f t="shared" si="37"/>
        <v>GREAT SUPPORT</v>
      </c>
      <c r="AA124" t="str">
        <f t="shared" si="38"/>
        <v>great support</v>
      </c>
      <c r="AB124" t="str">
        <f t="shared" si="39"/>
        <v>Great Support</v>
      </c>
    </row>
    <row r="125" spans="1:28">
      <c r="A125" t="s">
        <v>528</v>
      </c>
      <c r="B125" t="s">
        <v>529</v>
      </c>
      <c r="C125">
        <f t="shared" si="22"/>
        <v>11</v>
      </c>
      <c r="D125" t="s">
        <v>12</v>
      </c>
      <c r="E125" t="str">
        <f t="shared" si="21"/>
        <v>Shreya Nair(E1124) - Sales</v>
      </c>
      <c r="F125" t="str">
        <f t="shared" si="23"/>
        <v>Sales</v>
      </c>
      <c r="G125">
        <f t="shared" si="24"/>
        <v>20</v>
      </c>
      <c r="H125" t="str">
        <f t="shared" si="25"/>
        <v xml:space="preserve">Shreya Nair(E1124) </v>
      </c>
      <c r="I125" t="s">
        <v>80</v>
      </c>
      <c r="J125" t="str">
        <f t="shared" si="26"/>
        <v>Ahmed@bad</v>
      </c>
      <c r="K125" t="s">
        <v>530</v>
      </c>
      <c r="L125" t="str">
        <f t="shared" si="27"/>
        <v>Friday</v>
      </c>
      <c r="M125" t="str">
        <f t="shared" si="28"/>
        <v>Fri</v>
      </c>
      <c r="N125" t="str">
        <f t="shared" si="29"/>
        <v>day</v>
      </c>
      <c r="O125">
        <f t="shared" si="30"/>
        <v>12</v>
      </c>
      <c r="P125">
        <f t="shared" si="31"/>
        <v>2024</v>
      </c>
      <c r="Q125" t="s">
        <v>531</v>
      </c>
      <c r="R125">
        <f t="shared" si="32"/>
        <v>9</v>
      </c>
      <c r="S125">
        <f t="shared" si="33"/>
        <v>41</v>
      </c>
      <c r="T125">
        <f t="shared" si="34"/>
        <v>26</v>
      </c>
      <c r="U125">
        <v>41806</v>
      </c>
      <c r="V125">
        <v>47646</v>
      </c>
      <c r="W125" t="str">
        <f t="shared" si="35"/>
        <v>Low Target</v>
      </c>
      <c r="X125" t="str">
        <f t="shared" si="36"/>
        <v>Low Target</v>
      </c>
      <c r="Y125" t="s">
        <v>160</v>
      </c>
      <c r="Z125" t="str">
        <f t="shared" si="37"/>
        <v>EXCELLENT SERVICE</v>
      </c>
      <c r="AA125" t="str">
        <f t="shared" si="38"/>
        <v>excellent service</v>
      </c>
      <c r="AB125" t="str">
        <f t="shared" si="39"/>
        <v>Excellent Service</v>
      </c>
    </row>
    <row r="126" spans="1:28">
      <c r="A126" t="s">
        <v>532</v>
      </c>
      <c r="B126" t="s">
        <v>533</v>
      </c>
      <c r="C126">
        <f t="shared" si="22"/>
        <v>11</v>
      </c>
      <c r="D126" t="s">
        <v>27</v>
      </c>
      <c r="E126" t="str">
        <f t="shared" si="21"/>
        <v>Priya Gupta(E1125) - Marketing</v>
      </c>
      <c r="F126" t="str">
        <f t="shared" si="23"/>
        <v>Marketing</v>
      </c>
      <c r="G126">
        <f t="shared" si="24"/>
        <v>20</v>
      </c>
      <c r="H126" t="str">
        <f t="shared" si="25"/>
        <v xml:space="preserve">Priya Gupta(E1125) </v>
      </c>
      <c r="I126" t="s">
        <v>20</v>
      </c>
      <c r="J126" t="str">
        <f t="shared" si="26"/>
        <v>Pune</v>
      </c>
      <c r="K126" t="s">
        <v>534</v>
      </c>
      <c r="L126" t="str">
        <f t="shared" si="27"/>
        <v>Monday</v>
      </c>
      <c r="M126" t="str">
        <f t="shared" si="28"/>
        <v>Mon</v>
      </c>
      <c r="N126" t="str">
        <f t="shared" si="29"/>
        <v>day</v>
      </c>
      <c r="O126">
        <f t="shared" si="30"/>
        <v>7</v>
      </c>
      <c r="P126">
        <f t="shared" si="31"/>
        <v>2021</v>
      </c>
      <c r="Q126" t="s">
        <v>535</v>
      </c>
      <c r="R126">
        <f t="shared" si="32"/>
        <v>8</v>
      </c>
      <c r="S126">
        <f t="shared" si="33"/>
        <v>56</v>
      </c>
      <c r="T126">
        <f t="shared" si="34"/>
        <v>34</v>
      </c>
      <c r="U126">
        <v>59360</v>
      </c>
      <c r="V126">
        <v>48890</v>
      </c>
      <c r="W126" t="str">
        <f t="shared" si="35"/>
        <v>Low Target</v>
      </c>
      <c r="X126" t="str">
        <f t="shared" si="36"/>
        <v>Low Target</v>
      </c>
      <c r="Y126" t="s">
        <v>57</v>
      </c>
      <c r="Z126" t="str">
        <f t="shared" si="37"/>
        <v>HELPFUL ATTITUDE</v>
      </c>
      <c r="AA126" t="str">
        <f t="shared" si="38"/>
        <v>helpful attitude</v>
      </c>
      <c r="AB126" t="str">
        <f t="shared" si="39"/>
        <v>Helpful Attitude</v>
      </c>
    </row>
    <row r="127" spans="1:28">
      <c r="A127" t="s">
        <v>536</v>
      </c>
      <c r="B127" t="s">
        <v>537</v>
      </c>
      <c r="C127">
        <f t="shared" si="22"/>
        <v>11</v>
      </c>
      <c r="D127" t="s">
        <v>27</v>
      </c>
      <c r="E127" t="str">
        <f t="shared" si="21"/>
        <v>Meera Goyal(E1126) - Marketing</v>
      </c>
      <c r="F127" t="str">
        <f t="shared" si="23"/>
        <v>Marketing</v>
      </c>
      <c r="G127">
        <f t="shared" si="24"/>
        <v>20</v>
      </c>
      <c r="H127" t="str">
        <f t="shared" si="25"/>
        <v xml:space="preserve">Meera Goyal(E1126) </v>
      </c>
      <c r="I127" t="s">
        <v>66</v>
      </c>
      <c r="J127" t="str">
        <f t="shared" si="26"/>
        <v>Delhi</v>
      </c>
      <c r="K127" t="s">
        <v>538</v>
      </c>
      <c r="L127" t="str">
        <f t="shared" si="27"/>
        <v>Sunday</v>
      </c>
      <c r="M127" t="str">
        <f t="shared" si="28"/>
        <v>Sun</v>
      </c>
      <c r="N127" t="str">
        <f t="shared" si="29"/>
        <v>day</v>
      </c>
      <c r="O127">
        <f t="shared" si="30"/>
        <v>4</v>
      </c>
      <c r="P127">
        <f t="shared" si="31"/>
        <v>2023</v>
      </c>
      <c r="Q127" t="s">
        <v>539</v>
      </c>
      <c r="R127">
        <f t="shared" si="32"/>
        <v>10</v>
      </c>
      <c r="S127">
        <f t="shared" si="33"/>
        <v>6</v>
      </c>
      <c r="T127">
        <f t="shared" si="34"/>
        <v>53</v>
      </c>
      <c r="U127">
        <v>83815</v>
      </c>
      <c r="V127">
        <v>72069</v>
      </c>
      <c r="W127" t="str">
        <f t="shared" si="35"/>
        <v>High Target</v>
      </c>
      <c r="X127" t="str">
        <f t="shared" si="36"/>
        <v>Medium Target</v>
      </c>
      <c r="Y127" t="s">
        <v>143</v>
      </c>
      <c r="Z127" t="str">
        <f t="shared" si="37"/>
        <v>NEEDS IMPROVEMENT</v>
      </c>
      <c r="AA127" t="str">
        <f t="shared" si="38"/>
        <v>needs improvement</v>
      </c>
      <c r="AB127" t="str">
        <f t="shared" si="39"/>
        <v>Needs Improvement</v>
      </c>
    </row>
    <row r="128" spans="1:28">
      <c r="A128" t="s">
        <v>540</v>
      </c>
      <c r="B128" t="s">
        <v>541</v>
      </c>
      <c r="C128">
        <f t="shared" si="22"/>
        <v>11</v>
      </c>
      <c r="D128" t="s">
        <v>54</v>
      </c>
      <c r="E128" t="str">
        <f t="shared" si="21"/>
        <v>Priya Reddy(E1127) - HR</v>
      </c>
      <c r="F128" t="str">
        <f t="shared" si="23"/>
        <v>HR</v>
      </c>
      <c r="G128">
        <f t="shared" si="24"/>
        <v>20</v>
      </c>
      <c r="H128" t="str">
        <f t="shared" si="25"/>
        <v xml:space="preserve">Priya Reddy(E1127) </v>
      </c>
      <c r="I128" t="s">
        <v>80</v>
      </c>
      <c r="J128" t="str">
        <f t="shared" si="26"/>
        <v>Ahmed@bad</v>
      </c>
      <c r="K128" t="s">
        <v>542</v>
      </c>
      <c r="L128" t="str">
        <f t="shared" si="27"/>
        <v>Friday</v>
      </c>
      <c r="M128" t="str">
        <f t="shared" si="28"/>
        <v>Fri</v>
      </c>
      <c r="N128" t="str">
        <f t="shared" si="29"/>
        <v>day</v>
      </c>
      <c r="O128">
        <f t="shared" si="30"/>
        <v>6</v>
      </c>
      <c r="P128">
        <f t="shared" si="31"/>
        <v>2023</v>
      </c>
      <c r="Q128" t="s">
        <v>543</v>
      </c>
      <c r="R128">
        <f t="shared" si="32"/>
        <v>8</v>
      </c>
      <c r="S128">
        <f t="shared" si="33"/>
        <v>54</v>
      </c>
      <c r="T128">
        <f t="shared" si="34"/>
        <v>23</v>
      </c>
      <c r="U128">
        <v>55584</v>
      </c>
      <c r="V128">
        <v>46511</v>
      </c>
      <c r="W128" t="str">
        <f t="shared" si="35"/>
        <v>Low Target</v>
      </c>
      <c r="X128" t="str">
        <f t="shared" si="36"/>
        <v>Low Target</v>
      </c>
      <c r="Y128" t="s">
        <v>45</v>
      </c>
      <c r="Z128" t="str">
        <f t="shared" si="37"/>
        <v>STRONG PRESENTATION</v>
      </c>
      <c r="AA128" t="str">
        <f t="shared" si="38"/>
        <v>strong presentation</v>
      </c>
      <c r="AB128" t="str">
        <f t="shared" si="39"/>
        <v>Strong Presentation</v>
      </c>
    </row>
    <row r="129" spans="1:28">
      <c r="A129" t="s">
        <v>544</v>
      </c>
      <c r="B129" t="s">
        <v>545</v>
      </c>
      <c r="C129">
        <f t="shared" si="22"/>
        <v>12</v>
      </c>
      <c r="D129" t="s">
        <v>12</v>
      </c>
      <c r="E129" t="str">
        <f t="shared" si="21"/>
        <v>Aditya Reddy(E1128) - Sales</v>
      </c>
      <c r="F129" t="str">
        <f t="shared" si="23"/>
        <v>Sales</v>
      </c>
      <c r="G129">
        <f t="shared" si="24"/>
        <v>21</v>
      </c>
      <c r="H129" t="str">
        <f t="shared" si="25"/>
        <v xml:space="preserve">Aditya Reddy(E1128) </v>
      </c>
      <c r="I129" t="s">
        <v>90</v>
      </c>
      <c r="J129" t="str">
        <f t="shared" si="26"/>
        <v>Kolk@ta</v>
      </c>
      <c r="K129" t="s">
        <v>443</v>
      </c>
      <c r="L129" t="str">
        <f t="shared" si="27"/>
        <v>Wednesday</v>
      </c>
      <c r="M129" t="str">
        <f t="shared" si="28"/>
        <v>Wed</v>
      </c>
      <c r="N129" t="str">
        <f t="shared" si="29"/>
        <v>day</v>
      </c>
      <c r="O129">
        <f t="shared" si="30"/>
        <v>7</v>
      </c>
      <c r="P129">
        <f t="shared" si="31"/>
        <v>2022</v>
      </c>
      <c r="Q129" t="s">
        <v>546</v>
      </c>
      <c r="R129">
        <f t="shared" si="32"/>
        <v>8</v>
      </c>
      <c r="S129">
        <f t="shared" si="33"/>
        <v>7</v>
      </c>
      <c r="T129">
        <f t="shared" si="34"/>
        <v>54</v>
      </c>
      <c r="U129">
        <v>108814</v>
      </c>
      <c r="V129">
        <v>94014</v>
      </c>
      <c r="W129" t="str">
        <f t="shared" si="35"/>
        <v>High Target</v>
      </c>
      <c r="X129" t="str">
        <f t="shared" si="36"/>
        <v>High Target</v>
      </c>
      <c r="Y129" t="s">
        <v>38</v>
      </c>
      <c r="Z129" t="str">
        <f t="shared" si="37"/>
        <v>GOOD COMMUNICATION</v>
      </c>
      <c r="AA129" t="str">
        <f t="shared" si="38"/>
        <v>good communication</v>
      </c>
      <c r="AB129" t="str">
        <f t="shared" si="39"/>
        <v>Good Communication</v>
      </c>
    </row>
    <row r="130" spans="1:28">
      <c r="A130" t="s">
        <v>547</v>
      </c>
      <c r="B130" t="s">
        <v>548</v>
      </c>
      <c r="C130">
        <f t="shared" si="22"/>
        <v>11</v>
      </c>
      <c r="D130" t="s">
        <v>12</v>
      </c>
      <c r="E130" t="str">
        <f t="shared" ref="E130:E193" si="40">_xlfn.CONCAT(B130,"(",A130,")"," - ",D130)</f>
        <v>Nidhi Mehta(E1129) - Sales</v>
      </c>
      <c r="F130" t="str">
        <f t="shared" si="23"/>
        <v>Sales</v>
      </c>
      <c r="G130">
        <f t="shared" si="24"/>
        <v>20</v>
      </c>
      <c r="H130" t="str">
        <f t="shared" si="25"/>
        <v xml:space="preserve">Nidhi Mehta(E1129) </v>
      </c>
      <c r="I130" t="s">
        <v>73</v>
      </c>
      <c r="J130" t="str">
        <f t="shared" si="26"/>
        <v>Mumb@i</v>
      </c>
      <c r="K130" t="s">
        <v>549</v>
      </c>
      <c r="L130" t="str">
        <f t="shared" si="27"/>
        <v>Tuesday</v>
      </c>
      <c r="M130" t="str">
        <f t="shared" si="28"/>
        <v>Tue</v>
      </c>
      <c r="N130" t="str">
        <f t="shared" si="29"/>
        <v>day</v>
      </c>
      <c r="O130">
        <f t="shared" si="30"/>
        <v>11</v>
      </c>
      <c r="P130">
        <f t="shared" si="31"/>
        <v>2022</v>
      </c>
      <c r="Q130" t="s">
        <v>512</v>
      </c>
      <c r="R130">
        <f t="shared" si="32"/>
        <v>8</v>
      </c>
      <c r="S130">
        <f t="shared" si="33"/>
        <v>8</v>
      </c>
      <c r="T130">
        <f t="shared" si="34"/>
        <v>50</v>
      </c>
      <c r="U130">
        <v>75448</v>
      </c>
      <c r="V130">
        <v>77000</v>
      </c>
      <c r="W130" t="str">
        <f t="shared" si="35"/>
        <v>High Target</v>
      </c>
      <c r="X130" t="str">
        <f t="shared" si="36"/>
        <v>Medium Target</v>
      </c>
      <c r="Y130" t="s">
        <v>38</v>
      </c>
      <c r="Z130" t="str">
        <f t="shared" si="37"/>
        <v>GOOD COMMUNICATION</v>
      </c>
      <c r="AA130" t="str">
        <f t="shared" si="38"/>
        <v>good communication</v>
      </c>
      <c r="AB130" t="str">
        <f t="shared" si="39"/>
        <v>Good Communication</v>
      </c>
    </row>
    <row r="131" spans="1:28">
      <c r="A131" t="s">
        <v>550</v>
      </c>
      <c r="B131" t="s">
        <v>551</v>
      </c>
      <c r="C131">
        <f t="shared" ref="C131:C194" si="41">LEN(B131)</f>
        <v>11</v>
      </c>
      <c r="D131" t="s">
        <v>54</v>
      </c>
      <c r="E131" t="str">
        <f t="shared" si="40"/>
        <v>Varun Goyal(E1130) - HR</v>
      </c>
      <c r="F131" t="str">
        <f t="shared" ref="F131:F194" si="42">RIGHT(E131,LEN(E131)-FIND("- ",E131)-1)</f>
        <v>HR</v>
      </c>
      <c r="G131">
        <f t="shared" ref="G131:G194" si="43">FIND("-",E131)</f>
        <v>20</v>
      </c>
      <c r="H131" t="str">
        <f t="shared" ref="H131:H194" si="44">LEFT(E131,FIND("-",E131)-1)</f>
        <v xml:space="preserve">Varun Goyal(E1130) </v>
      </c>
      <c r="I131" t="s">
        <v>28</v>
      </c>
      <c r="J131" t="str">
        <f t="shared" ref="J131:J194" si="45">SUBSTITUTE(I131,"a","@",1)</f>
        <v>B@ngalore</v>
      </c>
      <c r="K131" t="s">
        <v>552</v>
      </c>
      <c r="L131" t="str">
        <f t="shared" ref="L131:L194" si="46">TEXT(K131,"dddd")</f>
        <v>Saturday</v>
      </c>
      <c r="M131" t="str">
        <f t="shared" ref="M131:M194" si="47">LEFT(L131,3)</f>
        <v>Sat</v>
      </c>
      <c r="N131" t="str">
        <f t="shared" ref="N131:N194" si="48">RIGHT(L131,3)</f>
        <v>day</v>
      </c>
      <c r="O131">
        <f t="shared" ref="O131:O194" si="49">MONTH(K131)</f>
        <v>4</v>
      </c>
      <c r="P131">
        <f t="shared" ref="P131:P194" si="50">YEAR(K131)</f>
        <v>2022</v>
      </c>
      <c r="Q131" t="s">
        <v>553</v>
      </c>
      <c r="R131">
        <f t="shared" ref="R131:R194" si="51">HOUR(Q131)</f>
        <v>9</v>
      </c>
      <c r="S131">
        <f t="shared" ref="S131:S194" si="52">MINUTE(Q131)</f>
        <v>49</v>
      </c>
      <c r="T131">
        <f t="shared" ref="T131:T194" si="53">SECOND(Q131)</f>
        <v>9</v>
      </c>
      <c r="U131">
        <v>76869</v>
      </c>
      <c r="V131">
        <v>91684</v>
      </c>
      <c r="W131" t="str">
        <f t="shared" ref="W131:W194" si="54">IF(V131&gt;50000,"High Target","Low Target")</f>
        <v>High Target</v>
      </c>
      <c r="X131" t="str">
        <f t="shared" ref="X131:X194" si="55">_xlfn.IFS(V131&lt;60000,"Low Target",V131&lt;80000,"Medium Target",V131&gt;80000,"High Target")</f>
        <v>High Target</v>
      </c>
      <c r="Y131" t="s">
        <v>143</v>
      </c>
      <c r="Z131" t="str">
        <f t="shared" ref="Z131:Z194" si="56">UPPER(Y131)</f>
        <v>NEEDS IMPROVEMENT</v>
      </c>
      <c r="AA131" t="str">
        <f t="shared" ref="AA131:AA194" si="57">LOWER(Y131)</f>
        <v>needs improvement</v>
      </c>
      <c r="AB131" t="str">
        <f t="shared" ref="AB131:AB194" si="58">PROPER(Y131)</f>
        <v>Needs Improvement</v>
      </c>
    </row>
    <row r="132" spans="1:28">
      <c r="A132" t="s">
        <v>554</v>
      </c>
      <c r="B132" t="s">
        <v>555</v>
      </c>
      <c r="C132">
        <f t="shared" si="41"/>
        <v>10</v>
      </c>
      <c r="D132" t="s">
        <v>54</v>
      </c>
      <c r="E132" t="str">
        <f t="shared" si="40"/>
        <v>Isha Kumar(E1131) - HR</v>
      </c>
      <c r="F132" t="str">
        <f t="shared" si="42"/>
        <v>HR</v>
      </c>
      <c r="G132">
        <f t="shared" si="43"/>
        <v>19</v>
      </c>
      <c r="H132" t="str">
        <f t="shared" si="44"/>
        <v xml:space="preserve">Isha Kumar(E1131) </v>
      </c>
      <c r="I132" t="s">
        <v>13</v>
      </c>
      <c r="J132" t="str">
        <f t="shared" si="45"/>
        <v>Chenn@i</v>
      </c>
      <c r="K132" t="s">
        <v>556</v>
      </c>
      <c r="L132" t="str">
        <f t="shared" si="46"/>
        <v>Friday</v>
      </c>
      <c r="M132" t="str">
        <f t="shared" si="47"/>
        <v>Fri</v>
      </c>
      <c r="N132" t="str">
        <f t="shared" si="48"/>
        <v>day</v>
      </c>
      <c r="O132">
        <f t="shared" si="49"/>
        <v>12</v>
      </c>
      <c r="P132">
        <f t="shared" si="50"/>
        <v>2021</v>
      </c>
      <c r="Q132" t="s">
        <v>557</v>
      </c>
      <c r="R132">
        <f t="shared" si="51"/>
        <v>8</v>
      </c>
      <c r="S132">
        <f t="shared" si="52"/>
        <v>42</v>
      </c>
      <c r="T132">
        <f t="shared" si="53"/>
        <v>55</v>
      </c>
      <c r="U132">
        <v>35326</v>
      </c>
      <c r="V132">
        <v>41689</v>
      </c>
      <c r="W132" t="str">
        <f t="shared" si="54"/>
        <v>Low Target</v>
      </c>
      <c r="X132" t="str">
        <f t="shared" si="55"/>
        <v>Low Target</v>
      </c>
      <c r="Y132" t="s">
        <v>160</v>
      </c>
      <c r="Z132" t="str">
        <f t="shared" si="56"/>
        <v>EXCELLENT SERVICE</v>
      </c>
      <c r="AA132" t="str">
        <f t="shared" si="57"/>
        <v>excellent service</v>
      </c>
      <c r="AB132" t="str">
        <f t="shared" si="58"/>
        <v>Excellent Service</v>
      </c>
    </row>
    <row r="133" spans="1:28">
      <c r="A133" t="s">
        <v>558</v>
      </c>
      <c r="B133" t="s">
        <v>559</v>
      </c>
      <c r="C133">
        <f t="shared" si="41"/>
        <v>10</v>
      </c>
      <c r="D133" t="s">
        <v>42</v>
      </c>
      <c r="E133" t="str">
        <f t="shared" si="40"/>
        <v>Meera Nair(E1132) - Finance</v>
      </c>
      <c r="F133" t="str">
        <f t="shared" si="42"/>
        <v>Finance</v>
      </c>
      <c r="G133">
        <f t="shared" si="43"/>
        <v>19</v>
      </c>
      <c r="H133" t="str">
        <f t="shared" si="44"/>
        <v xml:space="preserve">Meera Nair(E1132) </v>
      </c>
      <c r="I133" t="s">
        <v>73</v>
      </c>
      <c r="J133" t="str">
        <f t="shared" si="45"/>
        <v>Mumb@i</v>
      </c>
      <c r="K133" t="s">
        <v>560</v>
      </c>
      <c r="L133" t="str">
        <f t="shared" si="46"/>
        <v>Thursday</v>
      </c>
      <c r="M133" t="str">
        <f t="shared" si="47"/>
        <v>Thu</v>
      </c>
      <c r="N133" t="str">
        <f t="shared" si="48"/>
        <v>day</v>
      </c>
      <c r="O133">
        <f t="shared" si="49"/>
        <v>12</v>
      </c>
      <c r="P133">
        <f t="shared" si="50"/>
        <v>2021</v>
      </c>
      <c r="Q133" t="s">
        <v>561</v>
      </c>
      <c r="R133">
        <f t="shared" si="51"/>
        <v>9</v>
      </c>
      <c r="S133">
        <f t="shared" si="52"/>
        <v>3</v>
      </c>
      <c r="T133">
        <f t="shared" si="53"/>
        <v>8</v>
      </c>
      <c r="U133">
        <v>101197</v>
      </c>
      <c r="V133">
        <v>88609</v>
      </c>
      <c r="W133" t="str">
        <f t="shared" si="54"/>
        <v>High Target</v>
      </c>
      <c r="X133" t="str">
        <f t="shared" si="55"/>
        <v>High Target</v>
      </c>
      <c r="Y133" t="s">
        <v>45</v>
      </c>
      <c r="Z133" t="str">
        <f t="shared" si="56"/>
        <v>STRONG PRESENTATION</v>
      </c>
      <c r="AA133" t="str">
        <f t="shared" si="57"/>
        <v>strong presentation</v>
      </c>
      <c r="AB133" t="str">
        <f t="shared" si="58"/>
        <v>Strong Presentation</v>
      </c>
    </row>
    <row r="134" spans="1:28">
      <c r="A134" t="s">
        <v>562</v>
      </c>
      <c r="B134" t="s">
        <v>563</v>
      </c>
      <c r="C134">
        <f t="shared" si="41"/>
        <v>10</v>
      </c>
      <c r="D134" t="s">
        <v>27</v>
      </c>
      <c r="E134" t="str">
        <f t="shared" si="40"/>
        <v>Neha Verma(E1133) - Marketing</v>
      </c>
      <c r="F134" t="str">
        <f t="shared" si="42"/>
        <v>Marketing</v>
      </c>
      <c r="G134">
        <f t="shared" si="43"/>
        <v>19</v>
      </c>
      <c r="H134" t="str">
        <f t="shared" si="44"/>
        <v xml:space="preserve">Neha Verma(E1133) </v>
      </c>
      <c r="I134" t="s">
        <v>80</v>
      </c>
      <c r="J134" t="str">
        <f t="shared" si="45"/>
        <v>Ahmed@bad</v>
      </c>
      <c r="K134" t="s">
        <v>564</v>
      </c>
      <c r="L134" t="str">
        <f t="shared" si="46"/>
        <v>Thursday</v>
      </c>
      <c r="M134" t="str">
        <f t="shared" si="47"/>
        <v>Thu</v>
      </c>
      <c r="N134" t="str">
        <f t="shared" si="48"/>
        <v>day</v>
      </c>
      <c r="O134">
        <f t="shared" si="49"/>
        <v>1</v>
      </c>
      <c r="P134">
        <f t="shared" si="50"/>
        <v>2023</v>
      </c>
      <c r="Q134" t="s">
        <v>565</v>
      </c>
      <c r="R134">
        <f t="shared" si="51"/>
        <v>10</v>
      </c>
      <c r="S134">
        <f t="shared" si="52"/>
        <v>37</v>
      </c>
      <c r="T134">
        <f t="shared" si="53"/>
        <v>6</v>
      </c>
      <c r="U134">
        <v>87641</v>
      </c>
      <c r="V134">
        <v>69622</v>
      </c>
      <c r="W134" t="str">
        <f t="shared" si="54"/>
        <v>High Target</v>
      </c>
      <c r="X134" t="str">
        <f t="shared" si="55"/>
        <v>Medium Target</v>
      </c>
      <c r="Y134" t="s">
        <v>76</v>
      </c>
      <c r="Z134" t="str">
        <f t="shared" si="56"/>
        <v>ACCURATE REPORTS</v>
      </c>
      <c r="AA134" t="str">
        <f t="shared" si="57"/>
        <v>accurate reports</v>
      </c>
      <c r="AB134" t="str">
        <f t="shared" si="58"/>
        <v>Accurate Reports</v>
      </c>
    </row>
    <row r="135" spans="1:28">
      <c r="A135" t="s">
        <v>566</v>
      </c>
      <c r="B135" t="s">
        <v>567</v>
      </c>
      <c r="C135">
        <f t="shared" si="41"/>
        <v>12</v>
      </c>
      <c r="D135" t="s">
        <v>42</v>
      </c>
      <c r="E135" t="str">
        <f t="shared" si="40"/>
        <v>Shreya Patel(E1134) - Finance</v>
      </c>
      <c r="F135" t="str">
        <f t="shared" si="42"/>
        <v>Finance</v>
      </c>
      <c r="G135">
        <f t="shared" si="43"/>
        <v>21</v>
      </c>
      <c r="H135" t="str">
        <f t="shared" si="44"/>
        <v xml:space="preserve">Shreya Patel(E1134) </v>
      </c>
      <c r="I135" t="s">
        <v>80</v>
      </c>
      <c r="J135" t="str">
        <f t="shared" si="45"/>
        <v>Ahmed@bad</v>
      </c>
      <c r="K135" t="s">
        <v>568</v>
      </c>
      <c r="L135" t="str">
        <f t="shared" si="46"/>
        <v>Saturday</v>
      </c>
      <c r="M135" t="str">
        <f t="shared" si="47"/>
        <v>Sat</v>
      </c>
      <c r="N135" t="str">
        <f t="shared" si="48"/>
        <v>day</v>
      </c>
      <c r="O135">
        <f t="shared" si="49"/>
        <v>8</v>
      </c>
      <c r="P135">
        <f t="shared" si="50"/>
        <v>2024</v>
      </c>
      <c r="Q135" t="s">
        <v>569</v>
      </c>
      <c r="R135">
        <f t="shared" si="51"/>
        <v>8</v>
      </c>
      <c r="S135">
        <f t="shared" si="52"/>
        <v>3</v>
      </c>
      <c r="T135">
        <f t="shared" si="53"/>
        <v>30</v>
      </c>
      <c r="U135">
        <v>106848</v>
      </c>
      <c r="V135">
        <v>95528</v>
      </c>
      <c r="W135" t="str">
        <f t="shared" si="54"/>
        <v>High Target</v>
      </c>
      <c r="X135" t="str">
        <f t="shared" si="55"/>
        <v>High Target</v>
      </c>
      <c r="Y135" t="s">
        <v>169</v>
      </c>
      <c r="Z135" t="str">
        <f t="shared" si="56"/>
        <v>DETAILED ANALYSIS</v>
      </c>
      <c r="AA135" t="str">
        <f t="shared" si="57"/>
        <v>detailed analysis</v>
      </c>
      <c r="AB135" t="str">
        <f t="shared" si="58"/>
        <v>Detailed Analysis</v>
      </c>
    </row>
    <row r="136" spans="1:28">
      <c r="A136" t="s">
        <v>570</v>
      </c>
      <c r="B136" t="s">
        <v>571</v>
      </c>
      <c r="C136">
        <f t="shared" si="41"/>
        <v>11</v>
      </c>
      <c r="D136" t="s">
        <v>27</v>
      </c>
      <c r="E136" t="str">
        <f t="shared" si="40"/>
        <v>Nidhi Singh(E1135) - Marketing</v>
      </c>
      <c r="F136" t="str">
        <f t="shared" si="42"/>
        <v>Marketing</v>
      </c>
      <c r="G136">
        <f t="shared" si="43"/>
        <v>20</v>
      </c>
      <c r="H136" t="str">
        <f t="shared" si="44"/>
        <v xml:space="preserve">Nidhi Singh(E1135) </v>
      </c>
      <c r="I136" t="s">
        <v>80</v>
      </c>
      <c r="J136" t="str">
        <f t="shared" si="45"/>
        <v>Ahmed@bad</v>
      </c>
      <c r="K136" t="s">
        <v>572</v>
      </c>
      <c r="L136" t="str">
        <f t="shared" si="46"/>
        <v>Monday</v>
      </c>
      <c r="M136" t="str">
        <f t="shared" si="47"/>
        <v>Mon</v>
      </c>
      <c r="N136" t="str">
        <f t="shared" si="48"/>
        <v>day</v>
      </c>
      <c r="O136">
        <f t="shared" si="49"/>
        <v>5</v>
      </c>
      <c r="P136">
        <f t="shared" si="50"/>
        <v>2021</v>
      </c>
      <c r="Q136" t="s">
        <v>573</v>
      </c>
      <c r="R136">
        <f t="shared" si="51"/>
        <v>8</v>
      </c>
      <c r="S136">
        <f t="shared" si="52"/>
        <v>20</v>
      </c>
      <c r="T136">
        <f t="shared" si="53"/>
        <v>38</v>
      </c>
      <c r="U136">
        <v>39025</v>
      </c>
      <c r="V136">
        <v>49721</v>
      </c>
      <c r="W136" t="str">
        <f t="shared" si="54"/>
        <v>Low Target</v>
      </c>
      <c r="X136" t="str">
        <f t="shared" si="55"/>
        <v>Low Target</v>
      </c>
      <c r="Y136" t="s">
        <v>113</v>
      </c>
      <c r="Z136" t="str">
        <f t="shared" si="56"/>
        <v>QUICK RESPONSE</v>
      </c>
      <c r="AA136" t="str">
        <f t="shared" si="57"/>
        <v>quick response</v>
      </c>
      <c r="AB136" t="str">
        <f t="shared" si="58"/>
        <v>Quick Response</v>
      </c>
    </row>
    <row r="137" spans="1:28">
      <c r="A137" t="s">
        <v>574</v>
      </c>
      <c r="B137" t="s">
        <v>575</v>
      </c>
      <c r="C137">
        <f t="shared" si="41"/>
        <v>11</v>
      </c>
      <c r="D137" t="s">
        <v>42</v>
      </c>
      <c r="E137" t="str">
        <f t="shared" si="40"/>
        <v>Vikram Jain(E1136) - Finance</v>
      </c>
      <c r="F137" t="str">
        <f t="shared" si="42"/>
        <v>Finance</v>
      </c>
      <c r="G137">
        <f t="shared" si="43"/>
        <v>20</v>
      </c>
      <c r="H137" t="str">
        <f t="shared" si="44"/>
        <v xml:space="preserve">Vikram Jain(E1136) </v>
      </c>
      <c r="I137" t="s">
        <v>90</v>
      </c>
      <c r="J137" t="str">
        <f t="shared" si="45"/>
        <v>Kolk@ta</v>
      </c>
      <c r="K137" t="s">
        <v>576</v>
      </c>
      <c r="L137" t="str">
        <f t="shared" si="46"/>
        <v>Wednesday</v>
      </c>
      <c r="M137" t="str">
        <f t="shared" si="47"/>
        <v>Wed</v>
      </c>
      <c r="N137" t="str">
        <f t="shared" si="48"/>
        <v>day</v>
      </c>
      <c r="O137">
        <f t="shared" si="49"/>
        <v>5</v>
      </c>
      <c r="P137">
        <f t="shared" si="50"/>
        <v>2024</v>
      </c>
      <c r="Q137" t="s">
        <v>577</v>
      </c>
      <c r="R137">
        <f t="shared" si="51"/>
        <v>10</v>
      </c>
      <c r="S137">
        <f t="shared" si="52"/>
        <v>18</v>
      </c>
      <c r="T137">
        <f t="shared" si="53"/>
        <v>29</v>
      </c>
      <c r="U137">
        <v>86324</v>
      </c>
      <c r="V137">
        <v>73131</v>
      </c>
      <c r="W137" t="str">
        <f t="shared" si="54"/>
        <v>High Target</v>
      </c>
      <c r="X137" t="str">
        <f t="shared" si="55"/>
        <v>Medium Target</v>
      </c>
      <c r="Y137" t="s">
        <v>38</v>
      </c>
      <c r="Z137" t="str">
        <f t="shared" si="56"/>
        <v>GOOD COMMUNICATION</v>
      </c>
      <c r="AA137" t="str">
        <f t="shared" si="57"/>
        <v>good communication</v>
      </c>
      <c r="AB137" t="str">
        <f t="shared" si="58"/>
        <v>Good Communication</v>
      </c>
    </row>
    <row r="138" spans="1:28">
      <c r="A138" t="s">
        <v>578</v>
      </c>
      <c r="B138" t="s">
        <v>579</v>
      </c>
      <c r="C138">
        <f t="shared" si="41"/>
        <v>11</v>
      </c>
      <c r="D138" t="s">
        <v>54</v>
      </c>
      <c r="E138" t="str">
        <f t="shared" si="40"/>
        <v>Tanya Singh(E1137) - HR</v>
      </c>
      <c r="F138" t="str">
        <f t="shared" si="42"/>
        <v>HR</v>
      </c>
      <c r="G138">
        <f t="shared" si="43"/>
        <v>20</v>
      </c>
      <c r="H138" t="str">
        <f t="shared" si="44"/>
        <v xml:space="preserve">Tanya Singh(E1137) </v>
      </c>
      <c r="I138" t="s">
        <v>90</v>
      </c>
      <c r="J138" t="str">
        <f t="shared" si="45"/>
        <v>Kolk@ta</v>
      </c>
      <c r="K138" t="s">
        <v>580</v>
      </c>
      <c r="L138" t="str">
        <f t="shared" si="46"/>
        <v>Friday</v>
      </c>
      <c r="M138" t="str">
        <f t="shared" si="47"/>
        <v>Fri</v>
      </c>
      <c r="N138" t="str">
        <f t="shared" si="48"/>
        <v>day</v>
      </c>
      <c r="O138">
        <f t="shared" si="49"/>
        <v>7</v>
      </c>
      <c r="P138">
        <f t="shared" si="50"/>
        <v>2023</v>
      </c>
      <c r="Q138" t="s">
        <v>581</v>
      </c>
      <c r="R138">
        <f t="shared" si="51"/>
        <v>8</v>
      </c>
      <c r="S138">
        <f t="shared" si="52"/>
        <v>26</v>
      </c>
      <c r="T138">
        <f t="shared" si="53"/>
        <v>21</v>
      </c>
      <c r="U138">
        <v>108945</v>
      </c>
      <c r="V138">
        <v>94225</v>
      </c>
      <c r="W138" t="str">
        <f t="shared" si="54"/>
        <v>High Target</v>
      </c>
      <c r="X138" t="str">
        <f t="shared" si="55"/>
        <v>High Target</v>
      </c>
      <c r="Y138" t="s">
        <v>169</v>
      </c>
      <c r="Z138" t="str">
        <f t="shared" si="56"/>
        <v>DETAILED ANALYSIS</v>
      </c>
      <c r="AA138" t="str">
        <f t="shared" si="57"/>
        <v>detailed analysis</v>
      </c>
      <c r="AB138" t="str">
        <f t="shared" si="58"/>
        <v>Detailed Analysis</v>
      </c>
    </row>
    <row r="139" spans="1:28">
      <c r="A139" t="s">
        <v>582</v>
      </c>
      <c r="B139" t="s">
        <v>583</v>
      </c>
      <c r="C139">
        <f t="shared" si="41"/>
        <v>11</v>
      </c>
      <c r="D139" t="s">
        <v>42</v>
      </c>
      <c r="E139" t="str">
        <f t="shared" si="40"/>
        <v>Nisha Singh(E1138) - Finance</v>
      </c>
      <c r="F139" t="str">
        <f t="shared" si="42"/>
        <v>Finance</v>
      </c>
      <c r="G139">
        <f t="shared" si="43"/>
        <v>20</v>
      </c>
      <c r="H139" t="str">
        <f t="shared" si="44"/>
        <v xml:space="preserve">Nisha Singh(E1138) </v>
      </c>
      <c r="I139" t="s">
        <v>90</v>
      </c>
      <c r="J139" t="str">
        <f t="shared" si="45"/>
        <v>Kolk@ta</v>
      </c>
      <c r="K139" t="s">
        <v>584</v>
      </c>
      <c r="L139" t="str">
        <f t="shared" si="46"/>
        <v>Monday</v>
      </c>
      <c r="M139" t="str">
        <f t="shared" si="47"/>
        <v>Mon</v>
      </c>
      <c r="N139" t="str">
        <f t="shared" si="48"/>
        <v>day</v>
      </c>
      <c r="O139">
        <f t="shared" si="49"/>
        <v>10</v>
      </c>
      <c r="P139">
        <f t="shared" si="50"/>
        <v>2022</v>
      </c>
      <c r="Q139" t="s">
        <v>585</v>
      </c>
      <c r="R139">
        <f t="shared" si="51"/>
        <v>10</v>
      </c>
      <c r="S139">
        <f t="shared" si="52"/>
        <v>16</v>
      </c>
      <c r="T139">
        <f t="shared" si="53"/>
        <v>23</v>
      </c>
      <c r="U139">
        <v>66084</v>
      </c>
      <c r="V139">
        <v>50003</v>
      </c>
      <c r="W139" t="str">
        <f t="shared" si="54"/>
        <v>High Target</v>
      </c>
      <c r="X139" t="str">
        <f t="shared" si="55"/>
        <v>Low Target</v>
      </c>
      <c r="Y139" t="s">
        <v>38</v>
      </c>
      <c r="Z139" t="str">
        <f t="shared" si="56"/>
        <v>GOOD COMMUNICATION</v>
      </c>
      <c r="AA139" t="str">
        <f t="shared" si="57"/>
        <v>good communication</v>
      </c>
      <c r="AB139" t="str">
        <f t="shared" si="58"/>
        <v>Good Communication</v>
      </c>
    </row>
    <row r="140" spans="1:28">
      <c r="A140" t="s">
        <v>586</v>
      </c>
      <c r="B140" t="s">
        <v>587</v>
      </c>
      <c r="C140">
        <f t="shared" si="41"/>
        <v>11</v>
      </c>
      <c r="D140" t="s">
        <v>12</v>
      </c>
      <c r="E140" t="str">
        <f t="shared" si="40"/>
        <v>Rahul Verma(E1139) - Sales</v>
      </c>
      <c r="F140" t="str">
        <f t="shared" si="42"/>
        <v>Sales</v>
      </c>
      <c r="G140">
        <f t="shared" si="43"/>
        <v>20</v>
      </c>
      <c r="H140" t="str">
        <f t="shared" si="44"/>
        <v xml:space="preserve">Rahul Verma(E1139) </v>
      </c>
      <c r="I140" t="s">
        <v>90</v>
      </c>
      <c r="J140" t="str">
        <f t="shared" si="45"/>
        <v>Kolk@ta</v>
      </c>
      <c r="K140" t="s">
        <v>588</v>
      </c>
      <c r="L140" t="str">
        <f t="shared" si="46"/>
        <v>Saturday</v>
      </c>
      <c r="M140" t="str">
        <f t="shared" si="47"/>
        <v>Sat</v>
      </c>
      <c r="N140" t="str">
        <f t="shared" si="48"/>
        <v>day</v>
      </c>
      <c r="O140">
        <f t="shared" si="49"/>
        <v>7</v>
      </c>
      <c r="P140">
        <f t="shared" si="50"/>
        <v>2021</v>
      </c>
      <c r="Q140" t="s">
        <v>589</v>
      </c>
      <c r="R140">
        <f t="shared" si="51"/>
        <v>10</v>
      </c>
      <c r="S140">
        <f t="shared" si="52"/>
        <v>47</v>
      </c>
      <c r="T140">
        <f t="shared" si="53"/>
        <v>23</v>
      </c>
      <c r="U140">
        <v>86727</v>
      </c>
      <c r="V140">
        <v>93200</v>
      </c>
      <c r="W140" t="str">
        <f t="shared" si="54"/>
        <v>High Target</v>
      </c>
      <c r="X140" t="str">
        <f t="shared" si="55"/>
        <v>High Target</v>
      </c>
      <c r="Y140" t="s">
        <v>45</v>
      </c>
      <c r="Z140" t="str">
        <f t="shared" si="56"/>
        <v>STRONG PRESENTATION</v>
      </c>
      <c r="AA140" t="str">
        <f t="shared" si="57"/>
        <v>strong presentation</v>
      </c>
      <c r="AB140" t="str">
        <f t="shared" si="58"/>
        <v>Strong Presentation</v>
      </c>
    </row>
    <row r="141" spans="1:28">
      <c r="A141" t="s">
        <v>590</v>
      </c>
      <c r="B141" t="s">
        <v>162</v>
      </c>
      <c r="C141">
        <f t="shared" si="41"/>
        <v>12</v>
      </c>
      <c r="D141" t="s">
        <v>42</v>
      </c>
      <c r="E141" t="str">
        <f t="shared" si="40"/>
        <v>Priya Mishra(E1140) - Finance</v>
      </c>
      <c r="F141" t="str">
        <f t="shared" si="42"/>
        <v>Finance</v>
      </c>
      <c r="G141">
        <f t="shared" si="43"/>
        <v>21</v>
      </c>
      <c r="H141" t="str">
        <f t="shared" si="44"/>
        <v xml:space="preserve">Priya Mishra(E1140) </v>
      </c>
      <c r="I141" t="s">
        <v>20</v>
      </c>
      <c r="J141" t="str">
        <f t="shared" si="45"/>
        <v>Pune</v>
      </c>
      <c r="K141" t="s">
        <v>455</v>
      </c>
      <c r="L141" t="str">
        <f t="shared" si="46"/>
        <v>Saturday</v>
      </c>
      <c r="M141" t="str">
        <f t="shared" si="47"/>
        <v>Sat</v>
      </c>
      <c r="N141" t="str">
        <f t="shared" si="48"/>
        <v>day</v>
      </c>
      <c r="O141">
        <f t="shared" si="49"/>
        <v>4</v>
      </c>
      <c r="P141">
        <f t="shared" si="50"/>
        <v>2023</v>
      </c>
      <c r="Q141" t="s">
        <v>591</v>
      </c>
      <c r="R141">
        <f t="shared" si="51"/>
        <v>9</v>
      </c>
      <c r="S141">
        <f t="shared" si="52"/>
        <v>55</v>
      </c>
      <c r="T141">
        <f t="shared" si="53"/>
        <v>42</v>
      </c>
      <c r="U141">
        <v>101887</v>
      </c>
      <c r="V141">
        <v>89170</v>
      </c>
      <c r="W141" t="str">
        <f t="shared" si="54"/>
        <v>High Target</v>
      </c>
      <c r="X141" t="str">
        <f t="shared" si="55"/>
        <v>High Target</v>
      </c>
      <c r="Y141" t="s">
        <v>214</v>
      </c>
      <c r="Z141" t="str">
        <f t="shared" si="56"/>
        <v>POSITIVE ATTITUDE</v>
      </c>
      <c r="AA141" t="str">
        <f t="shared" si="57"/>
        <v>positive attitude</v>
      </c>
      <c r="AB141" t="str">
        <f t="shared" si="58"/>
        <v>Positive Attitude</v>
      </c>
    </row>
    <row r="142" spans="1:28">
      <c r="A142" t="s">
        <v>592</v>
      </c>
      <c r="B142" t="s">
        <v>593</v>
      </c>
      <c r="C142">
        <f t="shared" si="41"/>
        <v>13</v>
      </c>
      <c r="D142" t="s">
        <v>42</v>
      </c>
      <c r="E142" t="str">
        <f t="shared" si="40"/>
        <v>Madhuri Patel(E1141) - Finance</v>
      </c>
      <c r="F142" t="str">
        <f t="shared" si="42"/>
        <v>Finance</v>
      </c>
      <c r="G142">
        <f t="shared" si="43"/>
        <v>22</v>
      </c>
      <c r="H142" t="str">
        <f t="shared" si="44"/>
        <v xml:space="preserve">Madhuri Patel(E1141) </v>
      </c>
      <c r="I142" t="s">
        <v>13</v>
      </c>
      <c r="J142" t="str">
        <f t="shared" si="45"/>
        <v>Chenn@i</v>
      </c>
      <c r="K142" t="s">
        <v>594</v>
      </c>
      <c r="L142" t="str">
        <f t="shared" si="46"/>
        <v>Thursday</v>
      </c>
      <c r="M142" t="str">
        <f t="shared" si="47"/>
        <v>Thu</v>
      </c>
      <c r="N142" t="str">
        <f t="shared" si="48"/>
        <v>day</v>
      </c>
      <c r="O142">
        <f t="shared" si="49"/>
        <v>12</v>
      </c>
      <c r="P142">
        <f t="shared" si="50"/>
        <v>2022</v>
      </c>
      <c r="Q142" t="s">
        <v>595</v>
      </c>
      <c r="R142">
        <f t="shared" si="51"/>
        <v>8</v>
      </c>
      <c r="S142">
        <f t="shared" si="52"/>
        <v>36</v>
      </c>
      <c r="T142">
        <f t="shared" si="53"/>
        <v>32</v>
      </c>
      <c r="U142">
        <v>49082</v>
      </c>
      <c r="V142">
        <v>53942</v>
      </c>
      <c r="W142" t="str">
        <f t="shared" si="54"/>
        <v>High Target</v>
      </c>
      <c r="X142" t="str">
        <f t="shared" si="55"/>
        <v>Low Target</v>
      </c>
      <c r="Y142" t="s">
        <v>69</v>
      </c>
      <c r="Z142" t="str">
        <f t="shared" si="56"/>
        <v>GOOD TEAMWORK</v>
      </c>
      <c r="AA142" t="str">
        <f t="shared" si="57"/>
        <v>good teamwork</v>
      </c>
      <c r="AB142" t="str">
        <f t="shared" si="58"/>
        <v>Good Teamwork</v>
      </c>
    </row>
    <row r="143" spans="1:28">
      <c r="A143" t="s">
        <v>596</v>
      </c>
      <c r="B143" t="s">
        <v>597</v>
      </c>
      <c r="C143">
        <f t="shared" si="41"/>
        <v>11</v>
      </c>
      <c r="D143" t="s">
        <v>12</v>
      </c>
      <c r="E143" t="str">
        <f t="shared" si="40"/>
        <v>Kavita Nair(E1142) - Sales</v>
      </c>
      <c r="F143" t="str">
        <f t="shared" si="42"/>
        <v>Sales</v>
      </c>
      <c r="G143">
        <f t="shared" si="43"/>
        <v>20</v>
      </c>
      <c r="H143" t="str">
        <f t="shared" si="44"/>
        <v xml:space="preserve">Kavita Nair(E1142) </v>
      </c>
      <c r="I143" t="s">
        <v>35</v>
      </c>
      <c r="J143" t="str">
        <f t="shared" si="45"/>
        <v>Hyder@bad</v>
      </c>
      <c r="K143" t="s">
        <v>598</v>
      </c>
      <c r="L143" t="str">
        <f t="shared" si="46"/>
        <v>Wednesday</v>
      </c>
      <c r="M143" t="str">
        <f t="shared" si="47"/>
        <v>Wed</v>
      </c>
      <c r="N143" t="str">
        <f t="shared" si="48"/>
        <v>day</v>
      </c>
      <c r="O143">
        <f t="shared" si="49"/>
        <v>2</v>
      </c>
      <c r="P143">
        <f t="shared" si="50"/>
        <v>2024</v>
      </c>
      <c r="Q143" t="s">
        <v>599</v>
      </c>
      <c r="R143">
        <f t="shared" si="51"/>
        <v>9</v>
      </c>
      <c r="S143">
        <f t="shared" si="52"/>
        <v>7</v>
      </c>
      <c r="T143">
        <f t="shared" si="53"/>
        <v>48</v>
      </c>
      <c r="U143">
        <v>58077</v>
      </c>
      <c r="V143">
        <v>58256</v>
      </c>
      <c r="W143" t="str">
        <f t="shared" si="54"/>
        <v>High Target</v>
      </c>
      <c r="X143" t="str">
        <f t="shared" si="55"/>
        <v>Low Target</v>
      </c>
      <c r="Y143" t="s">
        <v>31</v>
      </c>
      <c r="Z143" t="str">
        <f t="shared" si="56"/>
        <v>CUSTOMER FOCUSED</v>
      </c>
      <c r="AA143" t="str">
        <f t="shared" si="57"/>
        <v>customer focused</v>
      </c>
      <c r="AB143" t="str">
        <f t="shared" si="58"/>
        <v>Customer Focused</v>
      </c>
    </row>
    <row r="144" spans="1:28">
      <c r="A144" t="s">
        <v>600</v>
      </c>
      <c r="B144" t="s">
        <v>601</v>
      </c>
      <c r="C144">
        <f t="shared" si="41"/>
        <v>11</v>
      </c>
      <c r="D144" t="s">
        <v>12</v>
      </c>
      <c r="E144" t="str">
        <f t="shared" si="40"/>
        <v>Nisha Goyal(E1143) - Sales</v>
      </c>
      <c r="F144" t="str">
        <f t="shared" si="42"/>
        <v>Sales</v>
      </c>
      <c r="G144">
        <f t="shared" si="43"/>
        <v>20</v>
      </c>
      <c r="H144" t="str">
        <f t="shared" si="44"/>
        <v xml:space="preserve">Nisha Goyal(E1143) </v>
      </c>
      <c r="I144" t="s">
        <v>13</v>
      </c>
      <c r="J144" t="str">
        <f t="shared" si="45"/>
        <v>Chenn@i</v>
      </c>
      <c r="K144" t="s">
        <v>602</v>
      </c>
      <c r="L144" t="str">
        <f t="shared" si="46"/>
        <v>Monday</v>
      </c>
      <c r="M144" t="str">
        <f t="shared" si="47"/>
        <v>Mon</v>
      </c>
      <c r="N144" t="str">
        <f t="shared" si="48"/>
        <v>day</v>
      </c>
      <c r="O144">
        <f t="shared" si="49"/>
        <v>3</v>
      </c>
      <c r="P144">
        <f t="shared" si="50"/>
        <v>2021</v>
      </c>
      <c r="Q144" t="s">
        <v>603</v>
      </c>
      <c r="R144">
        <f t="shared" si="51"/>
        <v>8</v>
      </c>
      <c r="S144">
        <f t="shared" si="52"/>
        <v>17</v>
      </c>
      <c r="T144">
        <f t="shared" si="53"/>
        <v>44</v>
      </c>
      <c r="U144">
        <v>95214</v>
      </c>
      <c r="V144">
        <v>89965</v>
      </c>
      <c r="W144" t="str">
        <f t="shared" si="54"/>
        <v>High Target</v>
      </c>
      <c r="X144" t="str">
        <f t="shared" si="55"/>
        <v>High Target</v>
      </c>
      <c r="Y144" t="s">
        <v>488</v>
      </c>
      <c r="Z144" t="str">
        <f t="shared" si="56"/>
        <v>GREAT SUPPORT</v>
      </c>
      <c r="AA144" t="str">
        <f t="shared" si="57"/>
        <v>great support</v>
      </c>
      <c r="AB144" t="str">
        <f t="shared" si="58"/>
        <v>Great Support</v>
      </c>
    </row>
    <row r="145" spans="1:28">
      <c r="A145" t="s">
        <v>604</v>
      </c>
      <c r="B145" t="s">
        <v>605</v>
      </c>
      <c r="C145">
        <f t="shared" si="41"/>
        <v>11</v>
      </c>
      <c r="D145" t="s">
        <v>12</v>
      </c>
      <c r="E145" t="str">
        <f t="shared" si="40"/>
        <v>Rohan Reddy(E1144) - Sales</v>
      </c>
      <c r="F145" t="str">
        <f t="shared" si="42"/>
        <v>Sales</v>
      </c>
      <c r="G145">
        <f t="shared" si="43"/>
        <v>20</v>
      </c>
      <c r="H145" t="str">
        <f t="shared" si="44"/>
        <v xml:space="preserve">Rohan Reddy(E1144) </v>
      </c>
      <c r="I145" t="s">
        <v>66</v>
      </c>
      <c r="J145" t="str">
        <f t="shared" si="45"/>
        <v>Delhi</v>
      </c>
      <c r="K145" t="s">
        <v>606</v>
      </c>
      <c r="L145" t="str">
        <f t="shared" si="46"/>
        <v>Thursday</v>
      </c>
      <c r="M145" t="str">
        <f t="shared" si="47"/>
        <v>Thu</v>
      </c>
      <c r="N145" t="str">
        <f t="shared" si="48"/>
        <v>day</v>
      </c>
      <c r="O145">
        <f t="shared" si="49"/>
        <v>10</v>
      </c>
      <c r="P145">
        <f t="shared" si="50"/>
        <v>2021</v>
      </c>
      <c r="Q145" t="s">
        <v>607</v>
      </c>
      <c r="R145">
        <f t="shared" si="51"/>
        <v>10</v>
      </c>
      <c r="S145">
        <f t="shared" si="52"/>
        <v>42</v>
      </c>
      <c r="T145">
        <f t="shared" si="53"/>
        <v>25</v>
      </c>
      <c r="U145">
        <v>38857</v>
      </c>
      <c r="V145">
        <v>44560</v>
      </c>
      <c r="W145" t="str">
        <f t="shared" si="54"/>
        <v>Low Target</v>
      </c>
      <c r="X145" t="str">
        <f t="shared" si="55"/>
        <v>Low Target</v>
      </c>
      <c r="Y145" t="s">
        <v>23</v>
      </c>
      <c r="Z145" t="str">
        <f t="shared" si="56"/>
        <v>FAST DELIVERY</v>
      </c>
      <c r="AA145" t="str">
        <f t="shared" si="57"/>
        <v>fast delivery</v>
      </c>
      <c r="AB145" t="str">
        <f t="shared" si="58"/>
        <v>Fast Delivery</v>
      </c>
    </row>
    <row r="146" spans="1:28">
      <c r="A146" t="s">
        <v>608</v>
      </c>
      <c r="B146" t="s">
        <v>609</v>
      </c>
      <c r="C146">
        <f t="shared" si="41"/>
        <v>11</v>
      </c>
      <c r="D146" t="s">
        <v>12</v>
      </c>
      <c r="E146" t="str">
        <f t="shared" si="40"/>
        <v>Yash Sharma(E1145) - Sales</v>
      </c>
      <c r="F146" t="str">
        <f t="shared" si="42"/>
        <v>Sales</v>
      </c>
      <c r="G146">
        <f t="shared" si="43"/>
        <v>20</v>
      </c>
      <c r="H146" t="str">
        <f t="shared" si="44"/>
        <v xml:space="preserve">Yash Sharma(E1145) </v>
      </c>
      <c r="I146" t="s">
        <v>28</v>
      </c>
      <c r="J146" t="str">
        <f t="shared" si="45"/>
        <v>B@ngalore</v>
      </c>
      <c r="K146" t="s">
        <v>610</v>
      </c>
      <c r="L146" t="str">
        <f t="shared" si="46"/>
        <v>Friday</v>
      </c>
      <c r="M146" t="str">
        <f t="shared" si="47"/>
        <v>Fri</v>
      </c>
      <c r="N146" t="str">
        <f t="shared" si="48"/>
        <v>day</v>
      </c>
      <c r="O146">
        <f t="shared" si="49"/>
        <v>2</v>
      </c>
      <c r="P146">
        <f t="shared" si="50"/>
        <v>2023</v>
      </c>
      <c r="Q146" t="s">
        <v>611</v>
      </c>
      <c r="R146">
        <f t="shared" si="51"/>
        <v>9</v>
      </c>
      <c r="S146">
        <f t="shared" si="52"/>
        <v>29</v>
      </c>
      <c r="T146">
        <f t="shared" si="53"/>
        <v>21</v>
      </c>
      <c r="U146">
        <v>59566</v>
      </c>
      <c r="V146">
        <v>50315</v>
      </c>
      <c r="W146" t="str">
        <f t="shared" si="54"/>
        <v>High Target</v>
      </c>
      <c r="X146" t="str">
        <f t="shared" si="55"/>
        <v>Low Target</v>
      </c>
      <c r="Y146" t="s">
        <v>143</v>
      </c>
      <c r="Z146" t="str">
        <f t="shared" si="56"/>
        <v>NEEDS IMPROVEMENT</v>
      </c>
      <c r="AA146" t="str">
        <f t="shared" si="57"/>
        <v>needs improvement</v>
      </c>
      <c r="AB146" t="str">
        <f t="shared" si="58"/>
        <v>Needs Improvement</v>
      </c>
    </row>
    <row r="147" spans="1:28">
      <c r="A147" t="s">
        <v>612</v>
      </c>
      <c r="B147" t="s">
        <v>613</v>
      </c>
      <c r="C147">
        <f t="shared" si="41"/>
        <v>10</v>
      </c>
      <c r="D147" t="s">
        <v>12</v>
      </c>
      <c r="E147" t="str">
        <f t="shared" si="40"/>
        <v>Komal Iyer(E1146) - Sales</v>
      </c>
      <c r="F147" t="str">
        <f t="shared" si="42"/>
        <v>Sales</v>
      </c>
      <c r="G147">
        <f t="shared" si="43"/>
        <v>19</v>
      </c>
      <c r="H147" t="str">
        <f t="shared" si="44"/>
        <v xml:space="preserve">Komal Iyer(E1146) </v>
      </c>
      <c r="I147" t="s">
        <v>73</v>
      </c>
      <c r="J147" t="str">
        <f t="shared" si="45"/>
        <v>Mumb@i</v>
      </c>
      <c r="K147" t="s">
        <v>614</v>
      </c>
      <c r="L147" t="str">
        <f t="shared" si="46"/>
        <v>Monday</v>
      </c>
      <c r="M147" t="str">
        <f t="shared" si="47"/>
        <v>Mon</v>
      </c>
      <c r="N147" t="str">
        <f t="shared" si="48"/>
        <v>day</v>
      </c>
      <c r="O147">
        <f t="shared" si="49"/>
        <v>11</v>
      </c>
      <c r="P147">
        <f t="shared" si="50"/>
        <v>2021</v>
      </c>
      <c r="Q147" t="s">
        <v>615</v>
      </c>
      <c r="R147">
        <f t="shared" si="51"/>
        <v>8</v>
      </c>
      <c r="S147">
        <f t="shared" si="52"/>
        <v>48</v>
      </c>
      <c r="T147">
        <f t="shared" si="53"/>
        <v>39</v>
      </c>
      <c r="U147">
        <v>33607</v>
      </c>
      <c r="V147">
        <v>43261</v>
      </c>
      <c r="W147" t="str">
        <f t="shared" si="54"/>
        <v>Low Target</v>
      </c>
      <c r="X147" t="str">
        <f t="shared" si="55"/>
        <v>Low Target</v>
      </c>
      <c r="Y147" t="s">
        <v>143</v>
      </c>
      <c r="Z147" t="str">
        <f t="shared" si="56"/>
        <v>NEEDS IMPROVEMENT</v>
      </c>
      <c r="AA147" t="str">
        <f t="shared" si="57"/>
        <v>needs improvement</v>
      </c>
      <c r="AB147" t="str">
        <f t="shared" si="58"/>
        <v>Needs Improvement</v>
      </c>
    </row>
    <row r="148" spans="1:28">
      <c r="A148" t="s">
        <v>616</v>
      </c>
      <c r="B148" t="s">
        <v>617</v>
      </c>
      <c r="C148">
        <f t="shared" si="41"/>
        <v>13</v>
      </c>
      <c r="D148" t="s">
        <v>27</v>
      </c>
      <c r="E148" t="str">
        <f t="shared" si="40"/>
        <v>Deepak Chopra(E1147) - Marketing</v>
      </c>
      <c r="F148" t="str">
        <f t="shared" si="42"/>
        <v>Marketing</v>
      </c>
      <c r="G148">
        <f t="shared" si="43"/>
        <v>22</v>
      </c>
      <c r="H148" t="str">
        <f t="shared" si="44"/>
        <v xml:space="preserve">Deepak Chopra(E1147) </v>
      </c>
      <c r="I148" t="s">
        <v>80</v>
      </c>
      <c r="J148" t="str">
        <f t="shared" si="45"/>
        <v>Ahmed@bad</v>
      </c>
      <c r="K148" t="s">
        <v>618</v>
      </c>
      <c r="L148" t="str">
        <f t="shared" si="46"/>
        <v>Saturday</v>
      </c>
      <c r="M148" t="str">
        <f t="shared" si="47"/>
        <v>Sat</v>
      </c>
      <c r="N148" t="str">
        <f t="shared" si="48"/>
        <v>day</v>
      </c>
      <c r="O148">
        <f t="shared" si="49"/>
        <v>4</v>
      </c>
      <c r="P148">
        <f t="shared" si="50"/>
        <v>2023</v>
      </c>
      <c r="Q148" t="s">
        <v>619</v>
      </c>
      <c r="R148">
        <f t="shared" si="51"/>
        <v>9</v>
      </c>
      <c r="S148">
        <f t="shared" si="52"/>
        <v>13</v>
      </c>
      <c r="T148">
        <f t="shared" si="53"/>
        <v>48</v>
      </c>
      <c r="U148">
        <v>66036</v>
      </c>
      <c r="V148">
        <v>73577</v>
      </c>
      <c r="W148" t="str">
        <f t="shared" si="54"/>
        <v>High Target</v>
      </c>
      <c r="X148" t="str">
        <f t="shared" si="55"/>
        <v>Medium Target</v>
      </c>
      <c r="Y148" t="s">
        <v>122</v>
      </c>
      <c r="Z148" t="str">
        <f t="shared" si="56"/>
        <v>CREATIVE IDEAS</v>
      </c>
      <c r="AA148" t="str">
        <f t="shared" si="57"/>
        <v>creative ideas</v>
      </c>
      <c r="AB148" t="str">
        <f t="shared" si="58"/>
        <v>Creative Ideas</v>
      </c>
    </row>
    <row r="149" spans="1:28">
      <c r="A149" t="s">
        <v>620</v>
      </c>
      <c r="B149" t="s">
        <v>583</v>
      </c>
      <c r="C149">
        <f t="shared" si="41"/>
        <v>11</v>
      </c>
      <c r="D149" t="s">
        <v>42</v>
      </c>
      <c r="E149" t="str">
        <f t="shared" si="40"/>
        <v>Nisha Singh(E1148) - Finance</v>
      </c>
      <c r="F149" t="str">
        <f t="shared" si="42"/>
        <v>Finance</v>
      </c>
      <c r="G149">
        <f t="shared" si="43"/>
        <v>20</v>
      </c>
      <c r="H149" t="str">
        <f t="shared" si="44"/>
        <v xml:space="preserve">Nisha Singh(E1148) </v>
      </c>
      <c r="I149" t="s">
        <v>80</v>
      </c>
      <c r="J149" t="str">
        <f t="shared" si="45"/>
        <v>Ahmed@bad</v>
      </c>
      <c r="K149" t="s">
        <v>621</v>
      </c>
      <c r="L149" t="str">
        <f t="shared" si="46"/>
        <v>Saturday</v>
      </c>
      <c r="M149" t="str">
        <f t="shared" si="47"/>
        <v>Sat</v>
      </c>
      <c r="N149" t="str">
        <f t="shared" si="48"/>
        <v>day</v>
      </c>
      <c r="O149">
        <f t="shared" si="49"/>
        <v>12</v>
      </c>
      <c r="P149">
        <f t="shared" si="50"/>
        <v>2023</v>
      </c>
      <c r="Q149" t="s">
        <v>622</v>
      </c>
      <c r="R149">
        <f t="shared" si="51"/>
        <v>10</v>
      </c>
      <c r="S149">
        <f t="shared" si="52"/>
        <v>19</v>
      </c>
      <c r="T149">
        <f t="shared" si="53"/>
        <v>2</v>
      </c>
      <c r="U149">
        <v>65354</v>
      </c>
      <c r="V149">
        <v>54451</v>
      </c>
      <c r="W149" t="str">
        <f t="shared" si="54"/>
        <v>High Target</v>
      </c>
      <c r="X149" t="str">
        <f t="shared" si="55"/>
        <v>Low Target</v>
      </c>
      <c r="Y149" t="s">
        <v>16</v>
      </c>
      <c r="Z149" t="str">
        <f t="shared" si="56"/>
        <v>EXCELLENT LEADERSHIP</v>
      </c>
      <c r="AA149" t="str">
        <f t="shared" si="57"/>
        <v>excellent leadership</v>
      </c>
      <c r="AB149" t="str">
        <f t="shared" si="58"/>
        <v>Excellent Leadership</v>
      </c>
    </row>
    <row r="150" spans="1:28">
      <c r="A150" t="s">
        <v>623</v>
      </c>
      <c r="B150" t="s">
        <v>624</v>
      </c>
      <c r="C150">
        <f t="shared" si="41"/>
        <v>12</v>
      </c>
      <c r="D150" t="s">
        <v>54</v>
      </c>
      <c r="E150" t="str">
        <f t="shared" si="40"/>
        <v>Priya Sharma(E1149) - HR</v>
      </c>
      <c r="F150" t="str">
        <f t="shared" si="42"/>
        <v>HR</v>
      </c>
      <c r="G150">
        <f t="shared" si="43"/>
        <v>21</v>
      </c>
      <c r="H150" t="str">
        <f t="shared" si="44"/>
        <v xml:space="preserve">Priya Sharma(E1149) </v>
      </c>
      <c r="I150" t="s">
        <v>13</v>
      </c>
      <c r="J150" t="str">
        <f t="shared" si="45"/>
        <v>Chenn@i</v>
      </c>
      <c r="K150" t="s">
        <v>625</v>
      </c>
      <c r="L150" t="str">
        <f t="shared" si="46"/>
        <v>Wednesday</v>
      </c>
      <c r="M150" t="str">
        <f t="shared" si="47"/>
        <v>Wed</v>
      </c>
      <c r="N150" t="str">
        <f t="shared" si="48"/>
        <v>day</v>
      </c>
      <c r="O150">
        <f t="shared" si="49"/>
        <v>3</v>
      </c>
      <c r="P150">
        <f t="shared" si="50"/>
        <v>2022</v>
      </c>
      <c r="Q150" t="s">
        <v>626</v>
      </c>
      <c r="R150">
        <f t="shared" si="51"/>
        <v>8</v>
      </c>
      <c r="S150">
        <f t="shared" si="52"/>
        <v>48</v>
      </c>
      <c r="T150">
        <f t="shared" si="53"/>
        <v>16</v>
      </c>
      <c r="U150">
        <v>65472</v>
      </c>
      <c r="V150">
        <v>58969</v>
      </c>
      <c r="W150" t="str">
        <f t="shared" si="54"/>
        <v>High Target</v>
      </c>
      <c r="X150" t="str">
        <f t="shared" si="55"/>
        <v>Low Target</v>
      </c>
      <c r="Y150" t="s">
        <v>38</v>
      </c>
      <c r="Z150" t="str">
        <f t="shared" si="56"/>
        <v>GOOD COMMUNICATION</v>
      </c>
      <c r="AA150" t="str">
        <f t="shared" si="57"/>
        <v>good communication</v>
      </c>
      <c r="AB150" t="str">
        <f t="shared" si="58"/>
        <v>Good Communication</v>
      </c>
    </row>
    <row r="151" spans="1:28">
      <c r="A151" t="s">
        <v>627</v>
      </c>
      <c r="B151" t="s">
        <v>628</v>
      </c>
      <c r="C151">
        <f t="shared" si="41"/>
        <v>12</v>
      </c>
      <c r="D151" t="s">
        <v>27</v>
      </c>
      <c r="E151" t="str">
        <f t="shared" si="40"/>
        <v>Amit Agarwal(E1150) - Marketing</v>
      </c>
      <c r="F151" t="str">
        <f t="shared" si="42"/>
        <v>Marketing</v>
      </c>
      <c r="G151">
        <f t="shared" si="43"/>
        <v>21</v>
      </c>
      <c r="H151" t="str">
        <f t="shared" si="44"/>
        <v xml:space="preserve">Amit Agarwal(E1150) </v>
      </c>
      <c r="I151" t="s">
        <v>66</v>
      </c>
      <c r="J151" t="str">
        <f t="shared" si="45"/>
        <v>Delhi</v>
      </c>
      <c r="K151" t="s">
        <v>629</v>
      </c>
      <c r="L151" t="str">
        <f t="shared" si="46"/>
        <v>Wednesday</v>
      </c>
      <c r="M151" t="str">
        <f t="shared" si="47"/>
        <v>Wed</v>
      </c>
      <c r="N151" t="str">
        <f t="shared" si="48"/>
        <v>day</v>
      </c>
      <c r="O151">
        <f t="shared" si="49"/>
        <v>9</v>
      </c>
      <c r="P151">
        <f t="shared" si="50"/>
        <v>2021</v>
      </c>
      <c r="Q151" t="s">
        <v>630</v>
      </c>
      <c r="R151">
        <f t="shared" si="51"/>
        <v>9</v>
      </c>
      <c r="S151">
        <f t="shared" si="52"/>
        <v>34</v>
      </c>
      <c r="T151">
        <f t="shared" si="53"/>
        <v>45</v>
      </c>
      <c r="U151">
        <v>72865</v>
      </c>
      <c r="V151">
        <v>55080</v>
      </c>
      <c r="W151" t="str">
        <f t="shared" si="54"/>
        <v>High Target</v>
      </c>
      <c r="X151" t="str">
        <f t="shared" si="55"/>
        <v>Low Target</v>
      </c>
      <c r="Y151" t="s">
        <v>45</v>
      </c>
      <c r="Z151" t="str">
        <f t="shared" si="56"/>
        <v>STRONG PRESENTATION</v>
      </c>
      <c r="AA151" t="str">
        <f t="shared" si="57"/>
        <v>strong presentation</v>
      </c>
      <c r="AB151" t="str">
        <f t="shared" si="58"/>
        <v>Strong Presentation</v>
      </c>
    </row>
    <row r="152" spans="1:28">
      <c r="A152" t="s">
        <v>631</v>
      </c>
      <c r="B152" t="s">
        <v>632</v>
      </c>
      <c r="C152">
        <f t="shared" si="41"/>
        <v>11</v>
      </c>
      <c r="D152" t="s">
        <v>12</v>
      </c>
      <c r="E152" t="str">
        <f t="shared" si="40"/>
        <v>Varun Reddy(E1151) - Sales</v>
      </c>
      <c r="F152" t="str">
        <f t="shared" si="42"/>
        <v>Sales</v>
      </c>
      <c r="G152">
        <f t="shared" si="43"/>
        <v>20</v>
      </c>
      <c r="H152" t="str">
        <f t="shared" si="44"/>
        <v xml:space="preserve">Varun Reddy(E1151) </v>
      </c>
      <c r="I152" t="s">
        <v>90</v>
      </c>
      <c r="J152" t="str">
        <f t="shared" si="45"/>
        <v>Kolk@ta</v>
      </c>
      <c r="K152" t="s">
        <v>633</v>
      </c>
      <c r="L152" t="str">
        <f t="shared" si="46"/>
        <v>Sunday</v>
      </c>
      <c r="M152" t="str">
        <f t="shared" si="47"/>
        <v>Sun</v>
      </c>
      <c r="N152" t="str">
        <f t="shared" si="48"/>
        <v>day</v>
      </c>
      <c r="O152">
        <f t="shared" si="49"/>
        <v>3</v>
      </c>
      <c r="P152">
        <f t="shared" si="50"/>
        <v>2021</v>
      </c>
      <c r="Q152" t="s">
        <v>634</v>
      </c>
      <c r="R152">
        <f t="shared" si="51"/>
        <v>9</v>
      </c>
      <c r="S152">
        <f t="shared" si="52"/>
        <v>1</v>
      </c>
      <c r="T152">
        <f t="shared" si="53"/>
        <v>29</v>
      </c>
      <c r="U152">
        <v>50618</v>
      </c>
      <c r="V152">
        <v>45102</v>
      </c>
      <c r="W152" t="str">
        <f t="shared" si="54"/>
        <v>Low Target</v>
      </c>
      <c r="X152" t="str">
        <f t="shared" si="55"/>
        <v>Low Target</v>
      </c>
      <c r="Y152" t="s">
        <v>16</v>
      </c>
      <c r="Z152" t="str">
        <f t="shared" si="56"/>
        <v>EXCELLENT LEADERSHIP</v>
      </c>
      <c r="AA152" t="str">
        <f t="shared" si="57"/>
        <v>excellent leadership</v>
      </c>
      <c r="AB152" t="str">
        <f t="shared" si="58"/>
        <v>Excellent Leadership</v>
      </c>
    </row>
    <row r="153" spans="1:28">
      <c r="A153" t="s">
        <v>635</v>
      </c>
      <c r="B153" t="s">
        <v>636</v>
      </c>
      <c r="C153">
        <f t="shared" si="41"/>
        <v>12</v>
      </c>
      <c r="D153" t="s">
        <v>27</v>
      </c>
      <c r="E153" t="str">
        <f t="shared" si="40"/>
        <v>Nisha Mishra(E1152) - Marketing</v>
      </c>
      <c r="F153" t="str">
        <f t="shared" si="42"/>
        <v>Marketing</v>
      </c>
      <c r="G153">
        <f t="shared" si="43"/>
        <v>21</v>
      </c>
      <c r="H153" t="str">
        <f t="shared" si="44"/>
        <v xml:space="preserve">Nisha Mishra(E1152) </v>
      </c>
      <c r="I153" t="s">
        <v>90</v>
      </c>
      <c r="J153" t="str">
        <f t="shared" si="45"/>
        <v>Kolk@ta</v>
      </c>
      <c r="K153" t="s">
        <v>637</v>
      </c>
      <c r="L153" t="str">
        <f t="shared" si="46"/>
        <v>Tuesday</v>
      </c>
      <c r="M153" t="str">
        <f t="shared" si="47"/>
        <v>Tue</v>
      </c>
      <c r="N153" t="str">
        <f t="shared" si="48"/>
        <v>day</v>
      </c>
      <c r="O153">
        <f t="shared" si="49"/>
        <v>8</v>
      </c>
      <c r="P153">
        <f t="shared" si="50"/>
        <v>2022</v>
      </c>
      <c r="Q153" t="s">
        <v>638</v>
      </c>
      <c r="R153">
        <f t="shared" si="51"/>
        <v>8</v>
      </c>
      <c r="S153">
        <f t="shared" si="52"/>
        <v>25</v>
      </c>
      <c r="T153">
        <f t="shared" si="53"/>
        <v>1</v>
      </c>
      <c r="U153">
        <v>57547</v>
      </c>
      <c r="V153">
        <v>61284</v>
      </c>
      <c r="W153" t="str">
        <f t="shared" si="54"/>
        <v>High Target</v>
      </c>
      <c r="X153" t="str">
        <f t="shared" si="55"/>
        <v>Medium Target</v>
      </c>
      <c r="Y153" t="s">
        <v>31</v>
      </c>
      <c r="Z153" t="str">
        <f t="shared" si="56"/>
        <v>CUSTOMER FOCUSED</v>
      </c>
      <c r="AA153" t="str">
        <f t="shared" si="57"/>
        <v>customer focused</v>
      </c>
      <c r="AB153" t="str">
        <f t="shared" si="58"/>
        <v>Customer Focused</v>
      </c>
    </row>
    <row r="154" spans="1:28">
      <c r="A154" t="s">
        <v>639</v>
      </c>
      <c r="B154" t="s">
        <v>640</v>
      </c>
      <c r="C154">
        <f t="shared" si="41"/>
        <v>15</v>
      </c>
      <c r="D154" t="s">
        <v>42</v>
      </c>
      <c r="E154" t="str">
        <f t="shared" si="40"/>
        <v>Shreya Malhotra(E1153) - Finance</v>
      </c>
      <c r="F154" t="str">
        <f t="shared" si="42"/>
        <v>Finance</v>
      </c>
      <c r="G154">
        <f t="shared" si="43"/>
        <v>24</v>
      </c>
      <c r="H154" t="str">
        <f t="shared" si="44"/>
        <v xml:space="preserve">Shreya Malhotra(E1153) </v>
      </c>
      <c r="I154" t="s">
        <v>20</v>
      </c>
      <c r="J154" t="str">
        <f t="shared" si="45"/>
        <v>Pune</v>
      </c>
      <c r="K154" t="s">
        <v>641</v>
      </c>
      <c r="L154" t="str">
        <f t="shared" si="46"/>
        <v>Wednesday</v>
      </c>
      <c r="M154" t="str">
        <f t="shared" si="47"/>
        <v>Wed</v>
      </c>
      <c r="N154" t="str">
        <f t="shared" si="48"/>
        <v>day</v>
      </c>
      <c r="O154">
        <f t="shared" si="49"/>
        <v>6</v>
      </c>
      <c r="P154">
        <f t="shared" si="50"/>
        <v>2023</v>
      </c>
      <c r="Q154" t="s">
        <v>642</v>
      </c>
      <c r="R154">
        <f t="shared" si="51"/>
        <v>8</v>
      </c>
      <c r="S154">
        <f t="shared" si="52"/>
        <v>15</v>
      </c>
      <c r="T154">
        <f t="shared" si="53"/>
        <v>27</v>
      </c>
      <c r="U154">
        <v>89835</v>
      </c>
      <c r="V154">
        <v>78592</v>
      </c>
      <c r="W154" t="str">
        <f t="shared" si="54"/>
        <v>High Target</v>
      </c>
      <c r="X154" t="str">
        <f t="shared" si="55"/>
        <v>Medium Target</v>
      </c>
      <c r="Y154" t="s">
        <v>45</v>
      </c>
      <c r="Z154" t="str">
        <f t="shared" si="56"/>
        <v>STRONG PRESENTATION</v>
      </c>
      <c r="AA154" t="str">
        <f t="shared" si="57"/>
        <v>strong presentation</v>
      </c>
      <c r="AB154" t="str">
        <f t="shared" si="58"/>
        <v>Strong Presentation</v>
      </c>
    </row>
    <row r="155" spans="1:28">
      <c r="A155" t="s">
        <v>643</v>
      </c>
      <c r="B155" t="s">
        <v>644</v>
      </c>
      <c r="C155">
        <f t="shared" si="41"/>
        <v>12</v>
      </c>
      <c r="D155" t="s">
        <v>42</v>
      </c>
      <c r="E155" t="str">
        <f t="shared" si="40"/>
        <v>Rahul Bansal(E1154) - Finance</v>
      </c>
      <c r="F155" t="str">
        <f t="shared" si="42"/>
        <v>Finance</v>
      </c>
      <c r="G155">
        <f t="shared" si="43"/>
        <v>21</v>
      </c>
      <c r="H155" t="str">
        <f t="shared" si="44"/>
        <v xml:space="preserve">Rahul Bansal(E1154) </v>
      </c>
      <c r="I155" t="s">
        <v>35</v>
      </c>
      <c r="J155" t="str">
        <f t="shared" si="45"/>
        <v>Hyder@bad</v>
      </c>
      <c r="K155" t="s">
        <v>645</v>
      </c>
      <c r="L155" t="str">
        <f t="shared" si="46"/>
        <v>Wednesday</v>
      </c>
      <c r="M155" t="str">
        <f t="shared" si="47"/>
        <v>Wed</v>
      </c>
      <c r="N155" t="str">
        <f t="shared" si="48"/>
        <v>day</v>
      </c>
      <c r="O155">
        <f t="shared" si="49"/>
        <v>3</v>
      </c>
      <c r="P155">
        <f t="shared" si="50"/>
        <v>2022</v>
      </c>
      <c r="Q155" t="s">
        <v>646</v>
      </c>
      <c r="R155">
        <f t="shared" si="51"/>
        <v>9</v>
      </c>
      <c r="S155">
        <f t="shared" si="52"/>
        <v>49</v>
      </c>
      <c r="T155">
        <f t="shared" si="53"/>
        <v>10</v>
      </c>
      <c r="U155">
        <v>63460</v>
      </c>
      <c r="V155">
        <v>45005</v>
      </c>
      <c r="W155" t="str">
        <f t="shared" si="54"/>
        <v>Low Target</v>
      </c>
      <c r="X155" t="str">
        <f t="shared" si="55"/>
        <v>Low Target</v>
      </c>
      <c r="Y155" t="s">
        <v>69</v>
      </c>
      <c r="Z155" t="str">
        <f t="shared" si="56"/>
        <v>GOOD TEAMWORK</v>
      </c>
      <c r="AA155" t="str">
        <f t="shared" si="57"/>
        <v>good teamwork</v>
      </c>
      <c r="AB155" t="str">
        <f t="shared" si="58"/>
        <v>Good Teamwork</v>
      </c>
    </row>
    <row r="156" spans="1:28">
      <c r="A156" t="s">
        <v>647</v>
      </c>
      <c r="B156" t="s">
        <v>648</v>
      </c>
      <c r="C156">
        <f t="shared" si="41"/>
        <v>11</v>
      </c>
      <c r="D156" t="s">
        <v>54</v>
      </c>
      <c r="E156" t="str">
        <f t="shared" si="40"/>
        <v>Neha Saxena(E1155) - HR</v>
      </c>
      <c r="F156" t="str">
        <f t="shared" si="42"/>
        <v>HR</v>
      </c>
      <c r="G156">
        <f t="shared" si="43"/>
        <v>20</v>
      </c>
      <c r="H156" t="str">
        <f t="shared" si="44"/>
        <v xml:space="preserve">Neha Saxena(E1155) </v>
      </c>
      <c r="I156" t="s">
        <v>35</v>
      </c>
      <c r="J156" t="str">
        <f t="shared" si="45"/>
        <v>Hyder@bad</v>
      </c>
      <c r="K156" t="s">
        <v>649</v>
      </c>
      <c r="L156" t="str">
        <f t="shared" si="46"/>
        <v>Wednesday</v>
      </c>
      <c r="M156" t="str">
        <f t="shared" si="47"/>
        <v>Wed</v>
      </c>
      <c r="N156" t="str">
        <f t="shared" si="48"/>
        <v>day</v>
      </c>
      <c r="O156">
        <f t="shared" si="49"/>
        <v>12</v>
      </c>
      <c r="P156">
        <f t="shared" si="50"/>
        <v>2022</v>
      </c>
      <c r="Q156" t="s">
        <v>650</v>
      </c>
      <c r="R156">
        <f t="shared" si="51"/>
        <v>10</v>
      </c>
      <c r="S156">
        <f t="shared" si="52"/>
        <v>52</v>
      </c>
      <c r="T156">
        <f t="shared" si="53"/>
        <v>41</v>
      </c>
      <c r="U156">
        <v>88093</v>
      </c>
      <c r="V156">
        <v>93414</v>
      </c>
      <c r="W156" t="str">
        <f t="shared" si="54"/>
        <v>High Target</v>
      </c>
      <c r="X156" t="str">
        <f t="shared" si="55"/>
        <v>High Target</v>
      </c>
      <c r="Y156" t="s">
        <v>76</v>
      </c>
      <c r="Z156" t="str">
        <f t="shared" si="56"/>
        <v>ACCURATE REPORTS</v>
      </c>
      <c r="AA156" t="str">
        <f t="shared" si="57"/>
        <v>accurate reports</v>
      </c>
      <c r="AB156" t="str">
        <f t="shared" si="58"/>
        <v>Accurate Reports</v>
      </c>
    </row>
    <row r="157" spans="1:28">
      <c r="A157" t="s">
        <v>651</v>
      </c>
      <c r="B157" t="s">
        <v>89</v>
      </c>
      <c r="C157">
        <f t="shared" si="41"/>
        <v>10</v>
      </c>
      <c r="D157" t="s">
        <v>42</v>
      </c>
      <c r="E157" t="str">
        <f t="shared" si="40"/>
        <v>Neha Kumar(E1156) - Finance</v>
      </c>
      <c r="F157" t="str">
        <f t="shared" si="42"/>
        <v>Finance</v>
      </c>
      <c r="G157">
        <f t="shared" si="43"/>
        <v>19</v>
      </c>
      <c r="H157" t="str">
        <f t="shared" si="44"/>
        <v xml:space="preserve">Neha Kumar(E1156) </v>
      </c>
      <c r="I157" t="s">
        <v>28</v>
      </c>
      <c r="J157" t="str">
        <f t="shared" si="45"/>
        <v>B@ngalore</v>
      </c>
      <c r="K157" t="s">
        <v>652</v>
      </c>
      <c r="L157" t="str">
        <f t="shared" si="46"/>
        <v>Wednesday</v>
      </c>
      <c r="M157" t="str">
        <f t="shared" si="47"/>
        <v>Wed</v>
      </c>
      <c r="N157" t="str">
        <f t="shared" si="48"/>
        <v>day</v>
      </c>
      <c r="O157">
        <f t="shared" si="49"/>
        <v>12</v>
      </c>
      <c r="P157">
        <f t="shared" si="50"/>
        <v>2021</v>
      </c>
      <c r="Q157" t="s">
        <v>653</v>
      </c>
      <c r="R157">
        <f t="shared" si="51"/>
        <v>10</v>
      </c>
      <c r="S157">
        <f t="shared" si="52"/>
        <v>9</v>
      </c>
      <c r="T157">
        <f t="shared" si="53"/>
        <v>48</v>
      </c>
      <c r="U157">
        <v>79689</v>
      </c>
      <c r="V157">
        <v>89751</v>
      </c>
      <c r="W157" t="str">
        <f t="shared" si="54"/>
        <v>High Target</v>
      </c>
      <c r="X157" t="str">
        <f t="shared" si="55"/>
        <v>High Target</v>
      </c>
      <c r="Y157" t="s">
        <v>113</v>
      </c>
      <c r="Z157" t="str">
        <f t="shared" si="56"/>
        <v>QUICK RESPONSE</v>
      </c>
      <c r="AA157" t="str">
        <f t="shared" si="57"/>
        <v>quick response</v>
      </c>
      <c r="AB157" t="str">
        <f t="shared" si="58"/>
        <v>Quick Response</v>
      </c>
    </row>
    <row r="158" spans="1:28">
      <c r="A158" t="s">
        <v>654</v>
      </c>
      <c r="B158" t="s">
        <v>655</v>
      </c>
      <c r="C158">
        <f t="shared" si="41"/>
        <v>13</v>
      </c>
      <c r="D158" t="s">
        <v>27</v>
      </c>
      <c r="E158" t="str">
        <f t="shared" si="40"/>
        <v>Harsh Agarwal(E1157) - Marketing</v>
      </c>
      <c r="F158" t="str">
        <f t="shared" si="42"/>
        <v>Marketing</v>
      </c>
      <c r="G158">
        <f t="shared" si="43"/>
        <v>22</v>
      </c>
      <c r="H158" t="str">
        <f t="shared" si="44"/>
        <v xml:space="preserve">Harsh Agarwal(E1157) </v>
      </c>
      <c r="I158" t="s">
        <v>80</v>
      </c>
      <c r="J158" t="str">
        <f t="shared" si="45"/>
        <v>Ahmed@bad</v>
      </c>
      <c r="K158" t="s">
        <v>656</v>
      </c>
      <c r="L158" t="str">
        <f t="shared" si="46"/>
        <v>Saturday</v>
      </c>
      <c r="M158" t="str">
        <f t="shared" si="47"/>
        <v>Sat</v>
      </c>
      <c r="N158" t="str">
        <f t="shared" si="48"/>
        <v>day</v>
      </c>
      <c r="O158">
        <f t="shared" si="49"/>
        <v>10</v>
      </c>
      <c r="P158">
        <f t="shared" si="50"/>
        <v>2024</v>
      </c>
      <c r="Q158" t="s">
        <v>657</v>
      </c>
      <c r="R158">
        <f t="shared" si="51"/>
        <v>10</v>
      </c>
      <c r="S158">
        <f t="shared" si="52"/>
        <v>41</v>
      </c>
      <c r="T158">
        <f t="shared" si="53"/>
        <v>40</v>
      </c>
      <c r="U158">
        <v>87109</v>
      </c>
      <c r="V158">
        <v>80928</v>
      </c>
      <c r="W158" t="str">
        <f t="shared" si="54"/>
        <v>High Target</v>
      </c>
      <c r="X158" t="str">
        <f t="shared" si="55"/>
        <v>High Target</v>
      </c>
      <c r="Y158" t="s">
        <v>214</v>
      </c>
      <c r="Z158" t="str">
        <f t="shared" si="56"/>
        <v>POSITIVE ATTITUDE</v>
      </c>
      <c r="AA158" t="str">
        <f t="shared" si="57"/>
        <v>positive attitude</v>
      </c>
      <c r="AB158" t="str">
        <f t="shared" si="58"/>
        <v>Positive Attitude</v>
      </c>
    </row>
    <row r="159" spans="1:28">
      <c r="A159" t="s">
        <v>658</v>
      </c>
      <c r="B159" t="s">
        <v>659</v>
      </c>
      <c r="C159">
        <f t="shared" si="41"/>
        <v>9</v>
      </c>
      <c r="D159" t="s">
        <v>54</v>
      </c>
      <c r="E159" t="str">
        <f t="shared" si="40"/>
        <v>Yash Iyer(E1158) - HR</v>
      </c>
      <c r="F159" t="str">
        <f t="shared" si="42"/>
        <v>HR</v>
      </c>
      <c r="G159">
        <f t="shared" si="43"/>
        <v>18</v>
      </c>
      <c r="H159" t="str">
        <f t="shared" si="44"/>
        <v xml:space="preserve">Yash Iyer(E1158) </v>
      </c>
      <c r="I159" t="s">
        <v>80</v>
      </c>
      <c r="J159" t="str">
        <f t="shared" si="45"/>
        <v>Ahmed@bad</v>
      </c>
      <c r="K159" t="s">
        <v>660</v>
      </c>
      <c r="L159" t="str">
        <f t="shared" si="46"/>
        <v>Thursday</v>
      </c>
      <c r="M159" t="str">
        <f t="shared" si="47"/>
        <v>Thu</v>
      </c>
      <c r="N159" t="str">
        <f t="shared" si="48"/>
        <v>day</v>
      </c>
      <c r="O159">
        <f t="shared" si="49"/>
        <v>5</v>
      </c>
      <c r="P159">
        <f t="shared" si="50"/>
        <v>2021</v>
      </c>
      <c r="Q159" t="s">
        <v>661</v>
      </c>
      <c r="R159">
        <f t="shared" si="51"/>
        <v>9</v>
      </c>
      <c r="S159">
        <f t="shared" si="52"/>
        <v>28</v>
      </c>
      <c r="T159">
        <f t="shared" si="53"/>
        <v>40</v>
      </c>
      <c r="U159">
        <v>62846</v>
      </c>
      <c r="V159">
        <v>59845</v>
      </c>
      <c r="W159" t="str">
        <f t="shared" si="54"/>
        <v>High Target</v>
      </c>
      <c r="X159" t="str">
        <f t="shared" si="55"/>
        <v>Low Target</v>
      </c>
      <c r="Y159" t="s">
        <v>16</v>
      </c>
      <c r="Z159" t="str">
        <f t="shared" si="56"/>
        <v>EXCELLENT LEADERSHIP</v>
      </c>
      <c r="AA159" t="str">
        <f t="shared" si="57"/>
        <v>excellent leadership</v>
      </c>
      <c r="AB159" t="str">
        <f t="shared" si="58"/>
        <v>Excellent Leadership</v>
      </c>
    </row>
    <row r="160" spans="1:28">
      <c r="A160" t="s">
        <v>662</v>
      </c>
      <c r="B160" t="s">
        <v>541</v>
      </c>
      <c r="C160">
        <f t="shared" si="41"/>
        <v>11</v>
      </c>
      <c r="D160" t="s">
        <v>12</v>
      </c>
      <c r="E160" t="str">
        <f t="shared" si="40"/>
        <v>Priya Reddy(E1159) - Sales</v>
      </c>
      <c r="F160" t="str">
        <f t="shared" si="42"/>
        <v>Sales</v>
      </c>
      <c r="G160">
        <f t="shared" si="43"/>
        <v>20</v>
      </c>
      <c r="H160" t="str">
        <f t="shared" si="44"/>
        <v xml:space="preserve">Priya Reddy(E1159) </v>
      </c>
      <c r="I160" t="s">
        <v>13</v>
      </c>
      <c r="J160" t="str">
        <f t="shared" si="45"/>
        <v>Chenn@i</v>
      </c>
      <c r="K160" t="s">
        <v>663</v>
      </c>
      <c r="L160" t="str">
        <f t="shared" si="46"/>
        <v>Friday</v>
      </c>
      <c r="M160" t="str">
        <f t="shared" si="47"/>
        <v>Fri</v>
      </c>
      <c r="N160" t="str">
        <f t="shared" si="48"/>
        <v>day</v>
      </c>
      <c r="O160">
        <f t="shared" si="49"/>
        <v>8</v>
      </c>
      <c r="P160">
        <f t="shared" si="50"/>
        <v>2023</v>
      </c>
      <c r="Q160" t="s">
        <v>664</v>
      </c>
      <c r="R160">
        <f t="shared" si="51"/>
        <v>9</v>
      </c>
      <c r="S160">
        <f t="shared" si="52"/>
        <v>2</v>
      </c>
      <c r="T160">
        <f t="shared" si="53"/>
        <v>3</v>
      </c>
      <c r="U160">
        <v>67978</v>
      </c>
      <c r="V160">
        <v>64165</v>
      </c>
      <c r="W160" t="str">
        <f t="shared" si="54"/>
        <v>High Target</v>
      </c>
      <c r="X160" t="str">
        <f t="shared" si="55"/>
        <v>Medium Target</v>
      </c>
      <c r="Y160" t="s">
        <v>38</v>
      </c>
      <c r="Z160" t="str">
        <f t="shared" si="56"/>
        <v>GOOD COMMUNICATION</v>
      </c>
      <c r="AA160" t="str">
        <f t="shared" si="57"/>
        <v>good communication</v>
      </c>
      <c r="AB160" t="str">
        <f t="shared" si="58"/>
        <v>Good Communication</v>
      </c>
    </row>
    <row r="161" spans="1:28">
      <c r="A161" t="s">
        <v>665</v>
      </c>
      <c r="B161" t="s">
        <v>666</v>
      </c>
      <c r="C161">
        <f t="shared" si="41"/>
        <v>10</v>
      </c>
      <c r="D161" t="s">
        <v>27</v>
      </c>
      <c r="E161" t="str">
        <f t="shared" si="40"/>
        <v>Yash Verma(E1160) - Marketing</v>
      </c>
      <c r="F161" t="str">
        <f t="shared" si="42"/>
        <v>Marketing</v>
      </c>
      <c r="G161">
        <f t="shared" si="43"/>
        <v>19</v>
      </c>
      <c r="H161" t="str">
        <f t="shared" si="44"/>
        <v xml:space="preserve">Yash Verma(E1160) </v>
      </c>
      <c r="I161" t="s">
        <v>80</v>
      </c>
      <c r="J161" t="str">
        <f t="shared" si="45"/>
        <v>Ahmed@bad</v>
      </c>
      <c r="K161" t="s">
        <v>667</v>
      </c>
      <c r="L161" t="str">
        <f t="shared" si="46"/>
        <v>Wednesday</v>
      </c>
      <c r="M161" t="str">
        <f t="shared" si="47"/>
        <v>Wed</v>
      </c>
      <c r="N161" t="str">
        <f t="shared" si="48"/>
        <v>day</v>
      </c>
      <c r="O161">
        <f t="shared" si="49"/>
        <v>4</v>
      </c>
      <c r="P161">
        <f t="shared" si="50"/>
        <v>2024</v>
      </c>
      <c r="Q161" t="s">
        <v>668</v>
      </c>
      <c r="R161">
        <f t="shared" si="51"/>
        <v>10</v>
      </c>
      <c r="S161">
        <f t="shared" si="52"/>
        <v>50</v>
      </c>
      <c r="T161">
        <f t="shared" si="53"/>
        <v>47</v>
      </c>
      <c r="U161">
        <v>86400</v>
      </c>
      <c r="V161">
        <v>98712</v>
      </c>
      <c r="W161" t="str">
        <f t="shared" si="54"/>
        <v>High Target</v>
      </c>
      <c r="X161" t="str">
        <f t="shared" si="55"/>
        <v>High Target</v>
      </c>
      <c r="Y161" t="s">
        <v>57</v>
      </c>
      <c r="Z161" t="str">
        <f t="shared" si="56"/>
        <v>HELPFUL ATTITUDE</v>
      </c>
      <c r="AA161" t="str">
        <f t="shared" si="57"/>
        <v>helpful attitude</v>
      </c>
      <c r="AB161" t="str">
        <f t="shared" si="58"/>
        <v>Helpful Attitude</v>
      </c>
    </row>
    <row r="162" spans="1:28">
      <c r="A162" t="s">
        <v>669</v>
      </c>
      <c r="B162" t="s">
        <v>485</v>
      </c>
      <c r="C162">
        <f t="shared" si="41"/>
        <v>14</v>
      </c>
      <c r="D162" t="s">
        <v>54</v>
      </c>
      <c r="E162" t="str">
        <f t="shared" si="40"/>
        <v>Madhuri Mishra(E1161) - HR</v>
      </c>
      <c r="F162" t="str">
        <f t="shared" si="42"/>
        <v>HR</v>
      </c>
      <c r="G162">
        <f t="shared" si="43"/>
        <v>23</v>
      </c>
      <c r="H162" t="str">
        <f t="shared" si="44"/>
        <v xml:space="preserve">Madhuri Mishra(E1161) </v>
      </c>
      <c r="I162" t="s">
        <v>35</v>
      </c>
      <c r="J162" t="str">
        <f t="shared" si="45"/>
        <v>Hyder@bad</v>
      </c>
      <c r="K162" t="s">
        <v>670</v>
      </c>
      <c r="L162" t="str">
        <f t="shared" si="46"/>
        <v>Friday</v>
      </c>
      <c r="M162" t="str">
        <f t="shared" si="47"/>
        <v>Fri</v>
      </c>
      <c r="N162" t="str">
        <f t="shared" si="48"/>
        <v>day</v>
      </c>
      <c r="O162">
        <f t="shared" si="49"/>
        <v>5</v>
      </c>
      <c r="P162">
        <f t="shared" si="50"/>
        <v>2024</v>
      </c>
      <c r="Q162" t="s">
        <v>671</v>
      </c>
      <c r="R162">
        <f t="shared" si="51"/>
        <v>9</v>
      </c>
      <c r="S162">
        <f t="shared" si="52"/>
        <v>32</v>
      </c>
      <c r="T162">
        <f t="shared" si="53"/>
        <v>9</v>
      </c>
      <c r="U162">
        <v>58579</v>
      </c>
      <c r="V162">
        <v>44054</v>
      </c>
      <c r="W162" t="str">
        <f t="shared" si="54"/>
        <v>Low Target</v>
      </c>
      <c r="X162" t="str">
        <f t="shared" si="55"/>
        <v>Low Target</v>
      </c>
      <c r="Y162" t="s">
        <v>38</v>
      </c>
      <c r="Z162" t="str">
        <f t="shared" si="56"/>
        <v>GOOD COMMUNICATION</v>
      </c>
      <c r="AA162" t="str">
        <f t="shared" si="57"/>
        <v>good communication</v>
      </c>
      <c r="AB162" t="str">
        <f t="shared" si="58"/>
        <v>Good Communication</v>
      </c>
    </row>
    <row r="163" spans="1:28">
      <c r="A163" t="s">
        <v>672</v>
      </c>
      <c r="B163" t="s">
        <v>673</v>
      </c>
      <c r="C163">
        <f t="shared" si="41"/>
        <v>10</v>
      </c>
      <c r="D163" t="s">
        <v>12</v>
      </c>
      <c r="E163" t="str">
        <f t="shared" si="40"/>
        <v>Tanya Iyer(E1162) - Sales</v>
      </c>
      <c r="F163" t="str">
        <f t="shared" si="42"/>
        <v>Sales</v>
      </c>
      <c r="G163">
        <f t="shared" si="43"/>
        <v>19</v>
      </c>
      <c r="H163" t="str">
        <f t="shared" si="44"/>
        <v xml:space="preserve">Tanya Iyer(E1162) </v>
      </c>
      <c r="I163" t="s">
        <v>66</v>
      </c>
      <c r="J163" t="str">
        <f t="shared" si="45"/>
        <v>Delhi</v>
      </c>
      <c r="K163" t="s">
        <v>674</v>
      </c>
      <c r="L163" t="str">
        <f t="shared" si="46"/>
        <v>Monday</v>
      </c>
      <c r="M163" t="str">
        <f t="shared" si="47"/>
        <v>Mon</v>
      </c>
      <c r="N163" t="str">
        <f t="shared" si="48"/>
        <v>day</v>
      </c>
      <c r="O163">
        <f t="shared" si="49"/>
        <v>3</v>
      </c>
      <c r="P163">
        <f t="shared" si="50"/>
        <v>2021</v>
      </c>
      <c r="Q163" t="s">
        <v>675</v>
      </c>
      <c r="R163">
        <f t="shared" si="51"/>
        <v>8</v>
      </c>
      <c r="S163">
        <f t="shared" si="52"/>
        <v>45</v>
      </c>
      <c r="T163">
        <f t="shared" si="53"/>
        <v>28</v>
      </c>
      <c r="U163">
        <v>88142</v>
      </c>
      <c r="V163">
        <v>68797</v>
      </c>
      <c r="W163" t="str">
        <f t="shared" si="54"/>
        <v>High Target</v>
      </c>
      <c r="X163" t="str">
        <f t="shared" si="55"/>
        <v>Medium Target</v>
      </c>
      <c r="Y163" t="s">
        <v>45</v>
      </c>
      <c r="Z163" t="str">
        <f t="shared" si="56"/>
        <v>STRONG PRESENTATION</v>
      </c>
      <c r="AA163" t="str">
        <f t="shared" si="57"/>
        <v>strong presentation</v>
      </c>
      <c r="AB163" t="str">
        <f t="shared" si="58"/>
        <v>Strong Presentation</v>
      </c>
    </row>
    <row r="164" spans="1:28">
      <c r="A164" t="s">
        <v>676</v>
      </c>
      <c r="B164" t="s">
        <v>677</v>
      </c>
      <c r="C164">
        <f t="shared" si="41"/>
        <v>12</v>
      </c>
      <c r="D164" t="s">
        <v>42</v>
      </c>
      <c r="E164" t="str">
        <f t="shared" si="40"/>
        <v>Shreya Joshi(E1163) - Finance</v>
      </c>
      <c r="F164" t="str">
        <f t="shared" si="42"/>
        <v>Finance</v>
      </c>
      <c r="G164">
        <f t="shared" si="43"/>
        <v>21</v>
      </c>
      <c r="H164" t="str">
        <f t="shared" si="44"/>
        <v xml:space="preserve">Shreya Joshi(E1163) </v>
      </c>
      <c r="I164" t="s">
        <v>35</v>
      </c>
      <c r="J164" t="str">
        <f t="shared" si="45"/>
        <v>Hyder@bad</v>
      </c>
      <c r="K164" t="s">
        <v>678</v>
      </c>
      <c r="L164" t="str">
        <f t="shared" si="46"/>
        <v>Wednesday</v>
      </c>
      <c r="M164" t="str">
        <f t="shared" si="47"/>
        <v>Wed</v>
      </c>
      <c r="N164" t="str">
        <f t="shared" si="48"/>
        <v>day</v>
      </c>
      <c r="O164">
        <f t="shared" si="49"/>
        <v>8</v>
      </c>
      <c r="P164">
        <f t="shared" si="50"/>
        <v>2022</v>
      </c>
      <c r="Q164" t="s">
        <v>679</v>
      </c>
      <c r="R164">
        <f t="shared" si="51"/>
        <v>9</v>
      </c>
      <c r="S164">
        <f t="shared" si="52"/>
        <v>26</v>
      </c>
      <c r="T164">
        <f t="shared" si="53"/>
        <v>49</v>
      </c>
      <c r="U164">
        <v>50606</v>
      </c>
      <c r="V164">
        <v>62175</v>
      </c>
      <c r="W164" t="str">
        <f t="shared" si="54"/>
        <v>High Target</v>
      </c>
      <c r="X164" t="str">
        <f t="shared" si="55"/>
        <v>Medium Target</v>
      </c>
      <c r="Y164" t="s">
        <v>31</v>
      </c>
      <c r="Z164" t="str">
        <f t="shared" si="56"/>
        <v>CUSTOMER FOCUSED</v>
      </c>
      <c r="AA164" t="str">
        <f t="shared" si="57"/>
        <v>customer focused</v>
      </c>
      <c r="AB164" t="str">
        <f t="shared" si="58"/>
        <v>Customer Focused</v>
      </c>
    </row>
    <row r="165" spans="1:28">
      <c r="A165" t="s">
        <v>680</v>
      </c>
      <c r="B165" t="s">
        <v>659</v>
      </c>
      <c r="C165">
        <f t="shared" si="41"/>
        <v>9</v>
      </c>
      <c r="D165" t="s">
        <v>12</v>
      </c>
      <c r="E165" t="str">
        <f t="shared" si="40"/>
        <v>Yash Iyer(E1164) - Sales</v>
      </c>
      <c r="F165" t="str">
        <f t="shared" si="42"/>
        <v>Sales</v>
      </c>
      <c r="G165">
        <f t="shared" si="43"/>
        <v>18</v>
      </c>
      <c r="H165" t="str">
        <f t="shared" si="44"/>
        <v xml:space="preserve">Yash Iyer(E1164) </v>
      </c>
      <c r="I165" t="s">
        <v>35</v>
      </c>
      <c r="J165" t="str">
        <f t="shared" si="45"/>
        <v>Hyder@bad</v>
      </c>
      <c r="K165" t="s">
        <v>681</v>
      </c>
      <c r="L165" t="str">
        <f t="shared" si="46"/>
        <v>Tuesday</v>
      </c>
      <c r="M165" t="str">
        <f t="shared" si="47"/>
        <v>Tue</v>
      </c>
      <c r="N165" t="str">
        <f t="shared" si="48"/>
        <v>day</v>
      </c>
      <c r="O165">
        <f t="shared" si="49"/>
        <v>7</v>
      </c>
      <c r="P165">
        <f t="shared" si="50"/>
        <v>2021</v>
      </c>
      <c r="Q165" t="s">
        <v>682</v>
      </c>
      <c r="R165">
        <f t="shared" si="51"/>
        <v>10</v>
      </c>
      <c r="S165">
        <f t="shared" si="52"/>
        <v>43</v>
      </c>
      <c r="T165">
        <f t="shared" si="53"/>
        <v>24</v>
      </c>
      <c r="U165">
        <v>60135</v>
      </c>
      <c r="V165">
        <v>58621</v>
      </c>
      <c r="W165" t="str">
        <f t="shared" si="54"/>
        <v>High Target</v>
      </c>
      <c r="X165" t="str">
        <f t="shared" si="55"/>
        <v>Low Target</v>
      </c>
      <c r="Y165" t="s">
        <v>23</v>
      </c>
      <c r="Z165" t="str">
        <f t="shared" si="56"/>
        <v>FAST DELIVERY</v>
      </c>
      <c r="AA165" t="str">
        <f t="shared" si="57"/>
        <v>fast delivery</v>
      </c>
      <c r="AB165" t="str">
        <f t="shared" si="58"/>
        <v>Fast Delivery</v>
      </c>
    </row>
    <row r="166" spans="1:28">
      <c r="A166" t="s">
        <v>683</v>
      </c>
      <c r="B166" t="s">
        <v>684</v>
      </c>
      <c r="C166">
        <f t="shared" si="41"/>
        <v>9</v>
      </c>
      <c r="D166" t="s">
        <v>54</v>
      </c>
      <c r="E166" t="str">
        <f t="shared" si="40"/>
        <v>Isha Jain(E1165) - HR</v>
      </c>
      <c r="F166" t="str">
        <f t="shared" si="42"/>
        <v>HR</v>
      </c>
      <c r="G166">
        <f t="shared" si="43"/>
        <v>18</v>
      </c>
      <c r="H166" t="str">
        <f t="shared" si="44"/>
        <v xml:space="preserve">Isha Jain(E1165) </v>
      </c>
      <c r="I166" t="s">
        <v>35</v>
      </c>
      <c r="J166" t="str">
        <f t="shared" si="45"/>
        <v>Hyder@bad</v>
      </c>
      <c r="K166" t="s">
        <v>685</v>
      </c>
      <c r="L166" t="str">
        <f t="shared" si="46"/>
        <v>Wednesday</v>
      </c>
      <c r="M166" t="str">
        <f t="shared" si="47"/>
        <v>Wed</v>
      </c>
      <c r="N166" t="str">
        <f t="shared" si="48"/>
        <v>day</v>
      </c>
      <c r="O166">
        <f t="shared" si="49"/>
        <v>6</v>
      </c>
      <c r="P166">
        <f t="shared" si="50"/>
        <v>2021</v>
      </c>
      <c r="Q166" t="s">
        <v>686</v>
      </c>
      <c r="R166">
        <f t="shared" si="51"/>
        <v>10</v>
      </c>
      <c r="S166">
        <f t="shared" si="52"/>
        <v>42</v>
      </c>
      <c r="T166">
        <f t="shared" si="53"/>
        <v>9</v>
      </c>
      <c r="U166">
        <v>68256</v>
      </c>
      <c r="V166">
        <v>62925</v>
      </c>
      <c r="W166" t="str">
        <f t="shared" si="54"/>
        <v>High Target</v>
      </c>
      <c r="X166" t="str">
        <f t="shared" si="55"/>
        <v>Medium Target</v>
      </c>
      <c r="Y166" t="s">
        <v>69</v>
      </c>
      <c r="Z166" t="str">
        <f t="shared" si="56"/>
        <v>GOOD TEAMWORK</v>
      </c>
      <c r="AA166" t="str">
        <f t="shared" si="57"/>
        <v>good teamwork</v>
      </c>
      <c r="AB166" t="str">
        <f t="shared" si="58"/>
        <v>Good Teamwork</v>
      </c>
    </row>
    <row r="167" spans="1:28">
      <c r="A167" t="s">
        <v>687</v>
      </c>
      <c r="B167" t="s">
        <v>688</v>
      </c>
      <c r="C167">
        <f t="shared" si="41"/>
        <v>16</v>
      </c>
      <c r="D167" t="s">
        <v>54</v>
      </c>
      <c r="E167" t="str">
        <f t="shared" si="40"/>
        <v>Siddharth Bansal(E1166) - HR</v>
      </c>
      <c r="F167" t="str">
        <f t="shared" si="42"/>
        <v>HR</v>
      </c>
      <c r="G167">
        <f t="shared" si="43"/>
        <v>25</v>
      </c>
      <c r="H167" t="str">
        <f t="shared" si="44"/>
        <v xml:space="preserve">Siddharth Bansal(E1166) </v>
      </c>
      <c r="I167" t="s">
        <v>20</v>
      </c>
      <c r="J167" t="str">
        <f t="shared" si="45"/>
        <v>Pune</v>
      </c>
      <c r="K167" t="s">
        <v>689</v>
      </c>
      <c r="L167" t="str">
        <f t="shared" si="46"/>
        <v>Tuesday</v>
      </c>
      <c r="M167" t="str">
        <f t="shared" si="47"/>
        <v>Tue</v>
      </c>
      <c r="N167" t="str">
        <f t="shared" si="48"/>
        <v>day</v>
      </c>
      <c r="O167">
        <f t="shared" si="49"/>
        <v>9</v>
      </c>
      <c r="P167">
        <f t="shared" si="50"/>
        <v>2022</v>
      </c>
      <c r="Q167" t="s">
        <v>690</v>
      </c>
      <c r="R167">
        <f t="shared" si="51"/>
        <v>10</v>
      </c>
      <c r="S167">
        <f t="shared" si="52"/>
        <v>24</v>
      </c>
      <c r="T167">
        <f t="shared" si="53"/>
        <v>41</v>
      </c>
      <c r="U167">
        <v>98409</v>
      </c>
      <c r="V167">
        <v>91882</v>
      </c>
      <c r="W167" t="str">
        <f t="shared" si="54"/>
        <v>High Target</v>
      </c>
      <c r="X167" t="str">
        <f t="shared" si="55"/>
        <v>High Target</v>
      </c>
      <c r="Y167" t="s">
        <v>214</v>
      </c>
      <c r="Z167" t="str">
        <f t="shared" si="56"/>
        <v>POSITIVE ATTITUDE</v>
      </c>
      <c r="AA167" t="str">
        <f t="shared" si="57"/>
        <v>positive attitude</v>
      </c>
      <c r="AB167" t="str">
        <f t="shared" si="58"/>
        <v>Positive Attitude</v>
      </c>
    </row>
    <row r="168" spans="1:28">
      <c r="A168" t="s">
        <v>691</v>
      </c>
      <c r="B168" t="s">
        <v>692</v>
      </c>
      <c r="C168">
        <f t="shared" si="41"/>
        <v>12</v>
      </c>
      <c r="D168" t="s">
        <v>12</v>
      </c>
      <c r="E168" t="str">
        <f t="shared" si="40"/>
        <v>Arjun Saxena(E1167) - Sales</v>
      </c>
      <c r="F168" t="str">
        <f t="shared" si="42"/>
        <v>Sales</v>
      </c>
      <c r="G168">
        <f t="shared" si="43"/>
        <v>21</v>
      </c>
      <c r="H168" t="str">
        <f t="shared" si="44"/>
        <v xml:space="preserve">Arjun Saxena(E1167) </v>
      </c>
      <c r="I168" t="s">
        <v>90</v>
      </c>
      <c r="J168" t="str">
        <f t="shared" si="45"/>
        <v>Kolk@ta</v>
      </c>
      <c r="K168" t="s">
        <v>693</v>
      </c>
      <c r="L168" t="str">
        <f t="shared" si="46"/>
        <v>Wednesday</v>
      </c>
      <c r="M168" t="str">
        <f t="shared" si="47"/>
        <v>Wed</v>
      </c>
      <c r="N168" t="str">
        <f t="shared" si="48"/>
        <v>day</v>
      </c>
      <c r="O168">
        <f t="shared" si="49"/>
        <v>11</v>
      </c>
      <c r="P168">
        <f t="shared" si="50"/>
        <v>2023</v>
      </c>
      <c r="Q168" t="s">
        <v>694</v>
      </c>
      <c r="R168">
        <f t="shared" si="51"/>
        <v>9</v>
      </c>
      <c r="S168">
        <f t="shared" si="52"/>
        <v>1</v>
      </c>
      <c r="T168">
        <f t="shared" si="53"/>
        <v>23</v>
      </c>
      <c r="U168">
        <v>57054</v>
      </c>
      <c r="V168">
        <v>60241</v>
      </c>
      <c r="W168" t="str">
        <f t="shared" si="54"/>
        <v>High Target</v>
      </c>
      <c r="X168" t="str">
        <f t="shared" si="55"/>
        <v>Medium Target</v>
      </c>
      <c r="Y168" t="s">
        <v>76</v>
      </c>
      <c r="Z168" t="str">
        <f t="shared" si="56"/>
        <v>ACCURATE REPORTS</v>
      </c>
      <c r="AA168" t="str">
        <f t="shared" si="57"/>
        <v>accurate reports</v>
      </c>
      <c r="AB168" t="str">
        <f t="shared" si="58"/>
        <v>Accurate Reports</v>
      </c>
    </row>
    <row r="169" spans="1:28">
      <c r="A169" t="s">
        <v>695</v>
      </c>
      <c r="B169" t="s">
        <v>470</v>
      </c>
      <c r="C169">
        <f t="shared" si="41"/>
        <v>13</v>
      </c>
      <c r="D169" t="s">
        <v>54</v>
      </c>
      <c r="E169" t="str">
        <f t="shared" si="40"/>
        <v>Rohan Agarwal(E1168) - HR</v>
      </c>
      <c r="F169" t="str">
        <f t="shared" si="42"/>
        <v>HR</v>
      </c>
      <c r="G169">
        <f t="shared" si="43"/>
        <v>22</v>
      </c>
      <c r="H169" t="str">
        <f t="shared" si="44"/>
        <v xml:space="preserve">Rohan Agarwal(E1168) </v>
      </c>
      <c r="I169" t="s">
        <v>28</v>
      </c>
      <c r="J169" t="str">
        <f t="shared" si="45"/>
        <v>B@ngalore</v>
      </c>
      <c r="K169" t="s">
        <v>696</v>
      </c>
      <c r="L169" t="str">
        <f t="shared" si="46"/>
        <v>Saturday</v>
      </c>
      <c r="M169" t="str">
        <f t="shared" si="47"/>
        <v>Sat</v>
      </c>
      <c r="N169" t="str">
        <f t="shared" si="48"/>
        <v>day</v>
      </c>
      <c r="O169">
        <f t="shared" si="49"/>
        <v>10</v>
      </c>
      <c r="P169">
        <f t="shared" si="50"/>
        <v>2021</v>
      </c>
      <c r="Q169" t="s">
        <v>697</v>
      </c>
      <c r="R169">
        <f t="shared" si="51"/>
        <v>8</v>
      </c>
      <c r="S169">
        <f t="shared" si="52"/>
        <v>4</v>
      </c>
      <c r="T169">
        <f t="shared" si="53"/>
        <v>18</v>
      </c>
      <c r="U169">
        <v>86968</v>
      </c>
      <c r="V169">
        <v>95340</v>
      </c>
      <c r="W169" t="str">
        <f t="shared" si="54"/>
        <v>High Target</v>
      </c>
      <c r="X169" t="str">
        <f t="shared" si="55"/>
        <v>High Target</v>
      </c>
      <c r="Y169" t="s">
        <v>45</v>
      </c>
      <c r="Z169" t="str">
        <f t="shared" si="56"/>
        <v>STRONG PRESENTATION</v>
      </c>
      <c r="AA169" t="str">
        <f t="shared" si="57"/>
        <v>strong presentation</v>
      </c>
      <c r="AB169" t="str">
        <f t="shared" si="58"/>
        <v>Strong Presentation</v>
      </c>
    </row>
    <row r="170" spans="1:28">
      <c r="A170" t="s">
        <v>698</v>
      </c>
      <c r="B170" t="s">
        <v>207</v>
      </c>
      <c r="C170">
        <f t="shared" si="41"/>
        <v>11</v>
      </c>
      <c r="D170" t="s">
        <v>12</v>
      </c>
      <c r="E170" t="str">
        <f t="shared" si="40"/>
        <v>Harsh Goyal(E1169) - Sales</v>
      </c>
      <c r="F170" t="str">
        <f t="shared" si="42"/>
        <v>Sales</v>
      </c>
      <c r="G170">
        <f t="shared" si="43"/>
        <v>20</v>
      </c>
      <c r="H170" t="str">
        <f t="shared" si="44"/>
        <v xml:space="preserve">Harsh Goyal(E1169) </v>
      </c>
      <c r="I170" t="s">
        <v>35</v>
      </c>
      <c r="J170" t="str">
        <f t="shared" si="45"/>
        <v>Hyder@bad</v>
      </c>
      <c r="K170" t="s">
        <v>699</v>
      </c>
      <c r="L170" t="str">
        <f t="shared" si="46"/>
        <v>Wednesday</v>
      </c>
      <c r="M170" t="str">
        <f t="shared" si="47"/>
        <v>Wed</v>
      </c>
      <c r="N170" t="str">
        <f t="shared" si="48"/>
        <v>day</v>
      </c>
      <c r="O170">
        <f t="shared" si="49"/>
        <v>6</v>
      </c>
      <c r="P170">
        <f t="shared" si="50"/>
        <v>2024</v>
      </c>
      <c r="Q170" t="s">
        <v>700</v>
      </c>
      <c r="R170">
        <f t="shared" si="51"/>
        <v>8</v>
      </c>
      <c r="S170">
        <f t="shared" si="52"/>
        <v>38</v>
      </c>
      <c r="T170">
        <f t="shared" si="53"/>
        <v>24</v>
      </c>
      <c r="U170">
        <v>45742</v>
      </c>
      <c r="V170">
        <v>50109</v>
      </c>
      <c r="W170" t="str">
        <f t="shared" si="54"/>
        <v>High Target</v>
      </c>
      <c r="X170" t="str">
        <f t="shared" si="55"/>
        <v>Low Target</v>
      </c>
      <c r="Y170" t="s">
        <v>113</v>
      </c>
      <c r="Z170" t="str">
        <f t="shared" si="56"/>
        <v>QUICK RESPONSE</v>
      </c>
      <c r="AA170" t="str">
        <f t="shared" si="57"/>
        <v>quick response</v>
      </c>
      <c r="AB170" t="str">
        <f t="shared" si="58"/>
        <v>Quick Response</v>
      </c>
    </row>
    <row r="171" spans="1:28">
      <c r="A171" t="s">
        <v>701</v>
      </c>
      <c r="B171" t="s">
        <v>702</v>
      </c>
      <c r="C171">
        <f t="shared" si="41"/>
        <v>10</v>
      </c>
      <c r="D171" t="s">
        <v>54</v>
      </c>
      <c r="E171" t="str">
        <f t="shared" si="40"/>
        <v>Varun Jain(E1170) - HR</v>
      </c>
      <c r="F171" t="str">
        <f t="shared" si="42"/>
        <v>HR</v>
      </c>
      <c r="G171">
        <f t="shared" si="43"/>
        <v>19</v>
      </c>
      <c r="H171" t="str">
        <f t="shared" si="44"/>
        <v xml:space="preserve">Varun Jain(E1170) </v>
      </c>
      <c r="I171" t="s">
        <v>80</v>
      </c>
      <c r="J171" t="str">
        <f t="shared" si="45"/>
        <v>Ahmed@bad</v>
      </c>
      <c r="K171" t="s">
        <v>703</v>
      </c>
      <c r="L171" t="str">
        <f t="shared" si="46"/>
        <v>Wednesday</v>
      </c>
      <c r="M171" t="str">
        <f t="shared" si="47"/>
        <v>Wed</v>
      </c>
      <c r="N171" t="str">
        <f t="shared" si="48"/>
        <v>day</v>
      </c>
      <c r="O171">
        <f t="shared" si="49"/>
        <v>3</v>
      </c>
      <c r="P171">
        <f t="shared" si="50"/>
        <v>2021</v>
      </c>
      <c r="Q171" t="s">
        <v>704</v>
      </c>
      <c r="R171">
        <f t="shared" si="51"/>
        <v>9</v>
      </c>
      <c r="S171">
        <f t="shared" si="52"/>
        <v>23</v>
      </c>
      <c r="T171">
        <f t="shared" si="53"/>
        <v>43</v>
      </c>
      <c r="U171">
        <v>87724</v>
      </c>
      <c r="V171">
        <v>87158</v>
      </c>
      <c r="W171" t="str">
        <f t="shared" si="54"/>
        <v>High Target</v>
      </c>
      <c r="X171" t="str">
        <f t="shared" si="55"/>
        <v>High Target</v>
      </c>
      <c r="Y171" t="s">
        <v>57</v>
      </c>
      <c r="Z171" t="str">
        <f t="shared" si="56"/>
        <v>HELPFUL ATTITUDE</v>
      </c>
      <c r="AA171" t="str">
        <f t="shared" si="57"/>
        <v>helpful attitude</v>
      </c>
      <c r="AB171" t="str">
        <f t="shared" si="58"/>
        <v>Helpful Attitude</v>
      </c>
    </row>
    <row r="172" spans="1:28">
      <c r="A172" t="s">
        <v>705</v>
      </c>
      <c r="B172" t="s">
        <v>706</v>
      </c>
      <c r="C172">
        <f t="shared" si="41"/>
        <v>12</v>
      </c>
      <c r="D172" t="s">
        <v>27</v>
      </c>
      <c r="E172" t="str">
        <f t="shared" si="40"/>
        <v>Shreya Gupta(E1171) - Marketing</v>
      </c>
      <c r="F172" t="str">
        <f t="shared" si="42"/>
        <v>Marketing</v>
      </c>
      <c r="G172">
        <f t="shared" si="43"/>
        <v>21</v>
      </c>
      <c r="H172" t="str">
        <f t="shared" si="44"/>
        <v xml:space="preserve">Shreya Gupta(E1171) </v>
      </c>
      <c r="I172" t="s">
        <v>28</v>
      </c>
      <c r="J172" t="str">
        <f t="shared" si="45"/>
        <v>B@ngalore</v>
      </c>
      <c r="K172" t="s">
        <v>707</v>
      </c>
      <c r="L172" t="str">
        <f t="shared" si="46"/>
        <v>Saturday</v>
      </c>
      <c r="M172" t="str">
        <f t="shared" si="47"/>
        <v>Sat</v>
      </c>
      <c r="N172" t="str">
        <f t="shared" si="48"/>
        <v>day</v>
      </c>
      <c r="O172">
        <f t="shared" si="49"/>
        <v>12</v>
      </c>
      <c r="P172">
        <f t="shared" si="50"/>
        <v>2023</v>
      </c>
      <c r="Q172" t="s">
        <v>708</v>
      </c>
      <c r="R172">
        <f t="shared" si="51"/>
        <v>8</v>
      </c>
      <c r="S172">
        <f t="shared" si="52"/>
        <v>19</v>
      </c>
      <c r="T172">
        <f t="shared" si="53"/>
        <v>51</v>
      </c>
      <c r="U172">
        <v>107141</v>
      </c>
      <c r="V172">
        <v>91404</v>
      </c>
      <c r="W172" t="str">
        <f t="shared" si="54"/>
        <v>High Target</v>
      </c>
      <c r="X172" t="str">
        <f t="shared" si="55"/>
        <v>High Target</v>
      </c>
      <c r="Y172" t="s">
        <v>488</v>
      </c>
      <c r="Z172" t="str">
        <f t="shared" si="56"/>
        <v>GREAT SUPPORT</v>
      </c>
      <c r="AA172" t="str">
        <f t="shared" si="57"/>
        <v>great support</v>
      </c>
      <c r="AB172" t="str">
        <f t="shared" si="58"/>
        <v>Great Support</v>
      </c>
    </row>
    <row r="173" spans="1:28">
      <c r="A173" t="s">
        <v>709</v>
      </c>
      <c r="B173" t="s">
        <v>710</v>
      </c>
      <c r="C173">
        <f t="shared" si="41"/>
        <v>11</v>
      </c>
      <c r="D173" t="s">
        <v>42</v>
      </c>
      <c r="E173" t="str">
        <f t="shared" si="40"/>
        <v>Varun Mehta(E1172) - Finance</v>
      </c>
      <c r="F173" t="str">
        <f t="shared" si="42"/>
        <v>Finance</v>
      </c>
      <c r="G173">
        <f t="shared" si="43"/>
        <v>20</v>
      </c>
      <c r="H173" t="str">
        <f t="shared" si="44"/>
        <v xml:space="preserve">Varun Mehta(E1172) </v>
      </c>
      <c r="I173" t="s">
        <v>80</v>
      </c>
      <c r="J173" t="str">
        <f t="shared" si="45"/>
        <v>Ahmed@bad</v>
      </c>
      <c r="K173" t="s">
        <v>663</v>
      </c>
      <c r="L173" t="str">
        <f t="shared" si="46"/>
        <v>Friday</v>
      </c>
      <c r="M173" t="str">
        <f t="shared" si="47"/>
        <v>Fri</v>
      </c>
      <c r="N173" t="str">
        <f t="shared" si="48"/>
        <v>day</v>
      </c>
      <c r="O173">
        <f t="shared" si="49"/>
        <v>8</v>
      </c>
      <c r="P173">
        <f t="shared" si="50"/>
        <v>2023</v>
      </c>
      <c r="Q173" t="s">
        <v>711</v>
      </c>
      <c r="R173">
        <f t="shared" si="51"/>
        <v>9</v>
      </c>
      <c r="S173">
        <f t="shared" si="52"/>
        <v>49</v>
      </c>
      <c r="T173">
        <f t="shared" si="53"/>
        <v>24</v>
      </c>
      <c r="U173">
        <v>92525</v>
      </c>
      <c r="V173">
        <v>72958</v>
      </c>
      <c r="W173" t="str">
        <f t="shared" si="54"/>
        <v>High Target</v>
      </c>
      <c r="X173" t="str">
        <f t="shared" si="55"/>
        <v>Medium Target</v>
      </c>
      <c r="Y173" t="s">
        <v>169</v>
      </c>
      <c r="Z173" t="str">
        <f t="shared" si="56"/>
        <v>DETAILED ANALYSIS</v>
      </c>
      <c r="AA173" t="str">
        <f t="shared" si="57"/>
        <v>detailed analysis</v>
      </c>
      <c r="AB173" t="str">
        <f t="shared" si="58"/>
        <v>Detailed Analysis</v>
      </c>
    </row>
    <row r="174" spans="1:28">
      <c r="A174" t="s">
        <v>712</v>
      </c>
      <c r="B174" t="s">
        <v>713</v>
      </c>
      <c r="C174">
        <f t="shared" si="41"/>
        <v>11</v>
      </c>
      <c r="D174" t="s">
        <v>54</v>
      </c>
      <c r="E174" t="str">
        <f t="shared" si="40"/>
        <v>Sneha Mehta(E1173) - HR</v>
      </c>
      <c r="F174" t="str">
        <f t="shared" si="42"/>
        <v>HR</v>
      </c>
      <c r="G174">
        <f t="shared" si="43"/>
        <v>20</v>
      </c>
      <c r="H174" t="str">
        <f t="shared" si="44"/>
        <v xml:space="preserve">Sneha Mehta(E1173) </v>
      </c>
      <c r="I174" t="s">
        <v>13</v>
      </c>
      <c r="J174" t="str">
        <f t="shared" si="45"/>
        <v>Chenn@i</v>
      </c>
      <c r="K174" t="s">
        <v>714</v>
      </c>
      <c r="L174" t="str">
        <f t="shared" si="46"/>
        <v>Saturday</v>
      </c>
      <c r="M174" t="str">
        <f t="shared" si="47"/>
        <v>Sat</v>
      </c>
      <c r="N174" t="str">
        <f t="shared" si="48"/>
        <v>day</v>
      </c>
      <c r="O174">
        <f t="shared" si="49"/>
        <v>4</v>
      </c>
      <c r="P174">
        <f t="shared" si="50"/>
        <v>2021</v>
      </c>
      <c r="Q174" t="s">
        <v>715</v>
      </c>
      <c r="R174">
        <f t="shared" si="51"/>
        <v>10</v>
      </c>
      <c r="S174">
        <f t="shared" si="52"/>
        <v>30</v>
      </c>
      <c r="T174">
        <f t="shared" si="53"/>
        <v>55</v>
      </c>
      <c r="U174">
        <v>56050</v>
      </c>
      <c r="V174">
        <v>64327</v>
      </c>
      <c r="W174" t="str">
        <f t="shared" si="54"/>
        <v>High Target</v>
      </c>
      <c r="X174" t="str">
        <f t="shared" si="55"/>
        <v>Medium Target</v>
      </c>
      <c r="Y174" t="s">
        <v>23</v>
      </c>
      <c r="Z174" t="str">
        <f t="shared" si="56"/>
        <v>FAST DELIVERY</v>
      </c>
      <c r="AA174" t="str">
        <f t="shared" si="57"/>
        <v>fast delivery</v>
      </c>
      <c r="AB174" t="str">
        <f t="shared" si="58"/>
        <v>Fast Delivery</v>
      </c>
    </row>
    <row r="175" spans="1:28">
      <c r="A175" t="s">
        <v>716</v>
      </c>
      <c r="B175" t="s">
        <v>717</v>
      </c>
      <c r="C175">
        <f t="shared" si="41"/>
        <v>11</v>
      </c>
      <c r="D175" t="s">
        <v>12</v>
      </c>
      <c r="E175" t="str">
        <f t="shared" si="40"/>
        <v>Isha Saxena(E1174) - Sales</v>
      </c>
      <c r="F175" t="str">
        <f t="shared" si="42"/>
        <v>Sales</v>
      </c>
      <c r="G175">
        <f t="shared" si="43"/>
        <v>20</v>
      </c>
      <c r="H175" t="str">
        <f t="shared" si="44"/>
        <v xml:space="preserve">Isha Saxena(E1174) </v>
      </c>
      <c r="I175" t="s">
        <v>13</v>
      </c>
      <c r="J175" t="str">
        <f t="shared" si="45"/>
        <v>Chenn@i</v>
      </c>
      <c r="K175" t="s">
        <v>718</v>
      </c>
      <c r="L175" t="str">
        <f t="shared" si="46"/>
        <v>Monday</v>
      </c>
      <c r="M175" t="str">
        <f t="shared" si="47"/>
        <v>Mon</v>
      </c>
      <c r="N175" t="str">
        <f t="shared" si="48"/>
        <v>day</v>
      </c>
      <c r="O175">
        <f t="shared" si="49"/>
        <v>6</v>
      </c>
      <c r="P175">
        <f t="shared" si="50"/>
        <v>2021</v>
      </c>
      <c r="Q175" t="s">
        <v>274</v>
      </c>
      <c r="R175">
        <f t="shared" si="51"/>
        <v>8</v>
      </c>
      <c r="S175">
        <f t="shared" si="52"/>
        <v>17</v>
      </c>
      <c r="T175">
        <f t="shared" si="53"/>
        <v>28</v>
      </c>
      <c r="U175">
        <v>117973</v>
      </c>
      <c r="V175">
        <v>99330</v>
      </c>
      <c r="W175" t="str">
        <f t="shared" si="54"/>
        <v>High Target</v>
      </c>
      <c r="X175" t="str">
        <f t="shared" si="55"/>
        <v>High Target</v>
      </c>
      <c r="Y175" t="s">
        <v>113</v>
      </c>
      <c r="Z175" t="str">
        <f t="shared" si="56"/>
        <v>QUICK RESPONSE</v>
      </c>
      <c r="AA175" t="str">
        <f t="shared" si="57"/>
        <v>quick response</v>
      </c>
      <c r="AB175" t="str">
        <f t="shared" si="58"/>
        <v>Quick Response</v>
      </c>
    </row>
    <row r="176" spans="1:28">
      <c r="A176" t="s">
        <v>719</v>
      </c>
      <c r="B176" t="s">
        <v>720</v>
      </c>
      <c r="C176">
        <f t="shared" si="41"/>
        <v>12</v>
      </c>
      <c r="D176" t="s">
        <v>12</v>
      </c>
      <c r="E176" t="str">
        <f t="shared" si="40"/>
        <v>Varun Chopra(E1175) - Sales</v>
      </c>
      <c r="F176" t="str">
        <f t="shared" si="42"/>
        <v>Sales</v>
      </c>
      <c r="G176">
        <f t="shared" si="43"/>
        <v>21</v>
      </c>
      <c r="H176" t="str">
        <f t="shared" si="44"/>
        <v xml:space="preserve">Varun Chopra(E1175) </v>
      </c>
      <c r="I176" t="s">
        <v>28</v>
      </c>
      <c r="J176" t="str">
        <f t="shared" si="45"/>
        <v>B@ngalore</v>
      </c>
      <c r="K176" t="s">
        <v>721</v>
      </c>
      <c r="L176" t="str">
        <f t="shared" si="46"/>
        <v>Thursday</v>
      </c>
      <c r="M176" t="str">
        <f t="shared" si="47"/>
        <v>Thu</v>
      </c>
      <c r="N176" t="str">
        <f t="shared" si="48"/>
        <v>day</v>
      </c>
      <c r="O176">
        <f t="shared" si="49"/>
        <v>7</v>
      </c>
      <c r="P176">
        <f t="shared" si="50"/>
        <v>2023</v>
      </c>
      <c r="Q176" t="s">
        <v>722</v>
      </c>
      <c r="R176">
        <f t="shared" si="51"/>
        <v>9</v>
      </c>
      <c r="S176">
        <f t="shared" si="52"/>
        <v>59</v>
      </c>
      <c r="T176">
        <f t="shared" si="53"/>
        <v>1</v>
      </c>
      <c r="U176">
        <v>55680</v>
      </c>
      <c r="V176">
        <v>67190</v>
      </c>
      <c r="W176" t="str">
        <f t="shared" si="54"/>
        <v>High Target</v>
      </c>
      <c r="X176" t="str">
        <f t="shared" si="55"/>
        <v>Medium Target</v>
      </c>
      <c r="Y176" t="s">
        <v>169</v>
      </c>
      <c r="Z176" t="str">
        <f t="shared" si="56"/>
        <v>DETAILED ANALYSIS</v>
      </c>
      <c r="AA176" t="str">
        <f t="shared" si="57"/>
        <v>detailed analysis</v>
      </c>
      <c r="AB176" t="str">
        <f t="shared" si="58"/>
        <v>Detailed Analysis</v>
      </c>
    </row>
    <row r="177" spans="1:28">
      <c r="A177" t="s">
        <v>723</v>
      </c>
      <c r="B177" t="s">
        <v>724</v>
      </c>
      <c r="C177">
        <f t="shared" si="41"/>
        <v>12</v>
      </c>
      <c r="D177" t="s">
        <v>54</v>
      </c>
      <c r="E177" t="str">
        <f t="shared" si="40"/>
        <v>Aakash Reddy(E1176) - HR</v>
      </c>
      <c r="F177" t="str">
        <f t="shared" si="42"/>
        <v>HR</v>
      </c>
      <c r="G177">
        <f t="shared" si="43"/>
        <v>21</v>
      </c>
      <c r="H177" t="str">
        <f t="shared" si="44"/>
        <v xml:space="preserve">Aakash Reddy(E1176) </v>
      </c>
      <c r="I177" t="s">
        <v>90</v>
      </c>
      <c r="J177" t="str">
        <f t="shared" si="45"/>
        <v>Kolk@ta</v>
      </c>
      <c r="K177" t="s">
        <v>725</v>
      </c>
      <c r="L177" t="str">
        <f t="shared" si="46"/>
        <v>Thursday</v>
      </c>
      <c r="M177" t="str">
        <f t="shared" si="47"/>
        <v>Thu</v>
      </c>
      <c r="N177" t="str">
        <f t="shared" si="48"/>
        <v>day</v>
      </c>
      <c r="O177">
        <f t="shared" si="49"/>
        <v>6</v>
      </c>
      <c r="P177">
        <f t="shared" si="50"/>
        <v>2021</v>
      </c>
      <c r="Q177" t="s">
        <v>726</v>
      </c>
      <c r="R177">
        <f t="shared" si="51"/>
        <v>9</v>
      </c>
      <c r="S177">
        <f t="shared" si="52"/>
        <v>14</v>
      </c>
      <c r="T177">
        <f t="shared" si="53"/>
        <v>1</v>
      </c>
      <c r="U177">
        <v>52378</v>
      </c>
      <c r="V177">
        <v>60885</v>
      </c>
      <c r="W177" t="str">
        <f t="shared" si="54"/>
        <v>High Target</v>
      </c>
      <c r="X177" t="str">
        <f t="shared" si="55"/>
        <v>Medium Target</v>
      </c>
      <c r="Y177" t="s">
        <v>214</v>
      </c>
      <c r="Z177" t="str">
        <f t="shared" si="56"/>
        <v>POSITIVE ATTITUDE</v>
      </c>
      <c r="AA177" t="str">
        <f t="shared" si="57"/>
        <v>positive attitude</v>
      </c>
      <c r="AB177" t="str">
        <f t="shared" si="58"/>
        <v>Positive Attitude</v>
      </c>
    </row>
    <row r="178" spans="1:28">
      <c r="A178" t="s">
        <v>727</v>
      </c>
      <c r="B178" t="s">
        <v>728</v>
      </c>
      <c r="C178">
        <f t="shared" si="41"/>
        <v>14</v>
      </c>
      <c r="D178" t="s">
        <v>54</v>
      </c>
      <c r="E178" t="str">
        <f t="shared" si="40"/>
        <v>Siddharth Iyer(E1177) - HR</v>
      </c>
      <c r="F178" t="str">
        <f t="shared" si="42"/>
        <v>HR</v>
      </c>
      <c r="G178">
        <f t="shared" si="43"/>
        <v>23</v>
      </c>
      <c r="H178" t="str">
        <f t="shared" si="44"/>
        <v xml:space="preserve">Siddharth Iyer(E1177) </v>
      </c>
      <c r="I178" t="s">
        <v>66</v>
      </c>
      <c r="J178" t="str">
        <f t="shared" si="45"/>
        <v>Delhi</v>
      </c>
      <c r="K178" t="s">
        <v>729</v>
      </c>
      <c r="L178" t="str">
        <f t="shared" si="46"/>
        <v>Saturday</v>
      </c>
      <c r="M178" t="str">
        <f t="shared" si="47"/>
        <v>Sat</v>
      </c>
      <c r="N178" t="str">
        <f t="shared" si="48"/>
        <v>day</v>
      </c>
      <c r="O178">
        <f t="shared" si="49"/>
        <v>3</v>
      </c>
      <c r="P178">
        <f t="shared" si="50"/>
        <v>2021</v>
      </c>
      <c r="Q178" t="s">
        <v>730</v>
      </c>
      <c r="R178">
        <f t="shared" si="51"/>
        <v>9</v>
      </c>
      <c r="S178">
        <f t="shared" si="52"/>
        <v>58</v>
      </c>
      <c r="T178">
        <f t="shared" si="53"/>
        <v>53</v>
      </c>
      <c r="U178">
        <v>65057</v>
      </c>
      <c r="V178">
        <v>70962</v>
      </c>
      <c r="W178" t="str">
        <f t="shared" si="54"/>
        <v>High Target</v>
      </c>
      <c r="X178" t="str">
        <f t="shared" si="55"/>
        <v>Medium Target</v>
      </c>
      <c r="Y178" t="s">
        <v>31</v>
      </c>
      <c r="Z178" t="str">
        <f t="shared" si="56"/>
        <v>CUSTOMER FOCUSED</v>
      </c>
      <c r="AA178" t="str">
        <f t="shared" si="57"/>
        <v>customer focused</v>
      </c>
      <c r="AB178" t="str">
        <f t="shared" si="58"/>
        <v>Customer Focused</v>
      </c>
    </row>
    <row r="179" spans="1:28">
      <c r="A179" t="s">
        <v>731</v>
      </c>
      <c r="B179" t="s">
        <v>348</v>
      </c>
      <c r="C179">
        <f t="shared" si="41"/>
        <v>17</v>
      </c>
      <c r="D179" t="s">
        <v>27</v>
      </c>
      <c r="E179" t="str">
        <f t="shared" si="40"/>
        <v>Siddharth Agarwal(E1178) - Marketing</v>
      </c>
      <c r="F179" t="str">
        <f t="shared" si="42"/>
        <v>Marketing</v>
      </c>
      <c r="G179">
        <f t="shared" si="43"/>
        <v>26</v>
      </c>
      <c r="H179" t="str">
        <f t="shared" si="44"/>
        <v xml:space="preserve">Siddharth Agarwal(E1178) </v>
      </c>
      <c r="I179" t="s">
        <v>73</v>
      </c>
      <c r="J179" t="str">
        <f t="shared" si="45"/>
        <v>Mumb@i</v>
      </c>
      <c r="K179" t="s">
        <v>732</v>
      </c>
      <c r="L179" t="str">
        <f t="shared" si="46"/>
        <v>Saturday</v>
      </c>
      <c r="M179" t="str">
        <f t="shared" si="47"/>
        <v>Sat</v>
      </c>
      <c r="N179" t="str">
        <f t="shared" si="48"/>
        <v>day</v>
      </c>
      <c r="O179">
        <f t="shared" si="49"/>
        <v>6</v>
      </c>
      <c r="P179">
        <f t="shared" si="50"/>
        <v>2021</v>
      </c>
      <c r="Q179" t="s">
        <v>733</v>
      </c>
      <c r="R179">
        <f t="shared" si="51"/>
        <v>8</v>
      </c>
      <c r="S179">
        <f t="shared" si="52"/>
        <v>16</v>
      </c>
      <c r="T179">
        <f t="shared" si="53"/>
        <v>13</v>
      </c>
      <c r="U179">
        <v>89518</v>
      </c>
      <c r="V179">
        <v>94720</v>
      </c>
      <c r="W179" t="str">
        <f t="shared" si="54"/>
        <v>High Target</v>
      </c>
      <c r="X179" t="str">
        <f t="shared" si="55"/>
        <v>High Target</v>
      </c>
      <c r="Y179" t="s">
        <v>45</v>
      </c>
      <c r="Z179" t="str">
        <f t="shared" si="56"/>
        <v>STRONG PRESENTATION</v>
      </c>
      <c r="AA179" t="str">
        <f t="shared" si="57"/>
        <v>strong presentation</v>
      </c>
      <c r="AB179" t="str">
        <f t="shared" si="58"/>
        <v>Strong Presentation</v>
      </c>
    </row>
    <row r="180" spans="1:28">
      <c r="A180" t="s">
        <v>734</v>
      </c>
      <c r="B180" t="s">
        <v>735</v>
      </c>
      <c r="C180">
        <f t="shared" si="41"/>
        <v>10</v>
      </c>
      <c r="D180" t="s">
        <v>27</v>
      </c>
      <c r="E180" t="str">
        <f t="shared" si="40"/>
        <v>Komal Jain(E1179) - Marketing</v>
      </c>
      <c r="F180" t="str">
        <f t="shared" si="42"/>
        <v>Marketing</v>
      </c>
      <c r="G180">
        <f t="shared" si="43"/>
        <v>19</v>
      </c>
      <c r="H180" t="str">
        <f t="shared" si="44"/>
        <v xml:space="preserve">Komal Jain(E1179) </v>
      </c>
      <c r="I180" t="s">
        <v>20</v>
      </c>
      <c r="J180" t="str">
        <f t="shared" si="45"/>
        <v>Pune</v>
      </c>
      <c r="K180" t="s">
        <v>415</v>
      </c>
      <c r="L180" t="str">
        <f t="shared" si="46"/>
        <v>Sunday</v>
      </c>
      <c r="M180" t="str">
        <f t="shared" si="47"/>
        <v>Sun</v>
      </c>
      <c r="N180" t="str">
        <f t="shared" si="48"/>
        <v>day</v>
      </c>
      <c r="O180">
        <f t="shared" si="49"/>
        <v>8</v>
      </c>
      <c r="P180">
        <f t="shared" si="50"/>
        <v>2022</v>
      </c>
      <c r="Q180" t="s">
        <v>736</v>
      </c>
      <c r="R180">
        <f t="shared" si="51"/>
        <v>8</v>
      </c>
      <c r="S180">
        <f t="shared" si="52"/>
        <v>19</v>
      </c>
      <c r="T180">
        <f t="shared" si="53"/>
        <v>7</v>
      </c>
      <c r="U180">
        <v>43755</v>
      </c>
      <c r="V180">
        <v>43129</v>
      </c>
      <c r="W180" t="str">
        <f t="shared" si="54"/>
        <v>Low Target</v>
      </c>
      <c r="X180" t="str">
        <f t="shared" si="55"/>
        <v>Low Target</v>
      </c>
      <c r="Y180" t="s">
        <v>169</v>
      </c>
      <c r="Z180" t="str">
        <f t="shared" si="56"/>
        <v>DETAILED ANALYSIS</v>
      </c>
      <c r="AA180" t="str">
        <f t="shared" si="57"/>
        <v>detailed analysis</v>
      </c>
      <c r="AB180" t="str">
        <f t="shared" si="58"/>
        <v>Detailed Analysis</v>
      </c>
    </row>
    <row r="181" spans="1:28">
      <c r="A181" t="s">
        <v>737</v>
      </c>
      <c r="B181" t="s">
        <v>738</v>
      </c>
      <c r="C181">
        <f t="shared" si="41"/>
        <v>9</v>
      </c>
      <c r="D181" t="s">
        <v>27</v>
      </c>
      <c r="E181" t="str">
        <f t="shared" si="40"/>
        <v>Yash Jain(E1180) - Marketing</v>
      </c>
      <c r="F181" t="str">
        <f t="shared" si="42"/>
        <v>Marketing</v>
      </c>
      <c r="G181">
        <f t="shared" si="43"/>
        <v>18</v>
      </c>
      <c r="H181" t="str">
        <f t="shared" si="44"/>
        <v xml:space="preserve">Yash Jain(E1180) </v>
      </c>
      <c r="I181" t="s">
        <v>20</v>
      </c>
      <c r="J181" t="str">
        <f t="shared" si="45"/>
        <v>Pune</v>
      </c>
      <c r="K181" t="s">
        <v>739</v>
      </c>
      <c r="L181" t="str">
        <f t="shared" si="46"/>
        <v>Monday</v>
      </c>
      <c r="M181" t="str">
        <f t="shared" si="47"/>
        <v>Mon</v>
      </c>
      <c r="N181" t="str">
        <f t="shared" si="48"/>
        <v>day</v>
      </c>
      <c r="O181">
        <f t="shared" si="49"/>
        <v>8</v>
      </c>
      <c r="P181">
        <f t="shared" si="50"/>
        <v>2021</v>
      </c>
      <c r="Q181" t="s">
        <v>740</v>
      </c>
      <c r="R181">
        <f t="shared" si="51"/>
        <v>9</v>
      </c>
      <c r="S181">
        <f t="shared" si="52"/>
        <v>38</v>
      </c>
      <c r="T181">
        <f t="shared" si="53"/>
        <v>34</v>
      </c>
      <c r="U181">
        <v>59852</v>
      </c>
      <c r="V181">
        <v>41077</v>
      </c>
      <c r="W181" t="str">
        <f t="shared" si="54"/>
        <v>Low Target</v>
      </c>
      <c r="X181" t="str">
        <f t="shared" si="55"/>
        <v>Low Target</v>
      </c>
      <c r="Y181" t="s">
        <v>16</v>
      </c>
      <c r="Z181" t="str">
        <f t="shared" si="56"/>
        <v>EXCELLENT LEADERSHIP</v>
      </c>
      <c r="AA181" t="str">
        <f t="shared" si="57"/>
        <v>excellent leadership</v>
      </c>
      <c r="AB181" t="str">
        <f t="shared" si="58"/>
        <v>Excellent Leadership</v>
      </c>
    </row>
    <row r="182" spans="1:28">
      <c r="A182" t="s">
        <v>741</v>
      </c>
      <c r="B182" t="s">
        <v>742</v>
      </c>
      <c r="C182">
        <f t="shared" si="41"/>
        <v>11</v>
      </c>
      <c r="D182" t="s">
        <v>42</v>
      </c>
      <c r="E182" t="str">
        <f t="shared" si="40"/>
        <v>Pooja Kumar(E1181) - Finance</v>
      </c>
      <c r="F182" t="str">
        <f t="shared" si="42"/>
        <v>Finance</v>
      </c>
      <c r="G182">
        <f t="shared" si="43"/>
        <v>20</v>
      </c>
      <c r="H182" t="str">
        <f t="shared" si="44"/>
        <v xml:space="preserve">Pooja Kumar(E1181) </v>
      </c>
      <c r="I182" t="s">
        <v>90</v>
      </c>
      <c r="J182" t="str">
        <f t="shared" si="45"/>
        <v>Kolk@ta</v>
      </c>
      <c r="K182" t="s">
        <v>743</v>
      </c>
      <c r="L182" t="str">
        <f t="shared" si="46"/>
        <v>Monday</v>
      </c>
      <c r="M182" t="str">
        <f t="shared" si="47"/>
        <v>Mon</v>
      </c>
      <c r="N182" t="str">
        <f t="shared" si="48"/>
        <v>day</v>
      </c>
      <c r="O182">
        <f t="shared" si="49"/>
        <v>1</v>
      </c>
      <c r="P182">
        <f t="shared" si="50"/>
        <v>2021</v>
      </c>
      <c r="Q182" t="s">
        <v>744</v>
      </c>
      <c r="R182">
        <f t="shared" si="51"/>
        <v>10</v>
      </c>
      <c r="S182">
        <f t="shared" si="52"/>
        <v>22</v>
      </c>
      <c r="T182">
        <f t="shared" si="53"/>
        <v>15</v>
      </c>
      <c r="U182">
        <v>89699</v>
      </c>
      <c r="V182">
        <v>77399</v>
      </c>
      <c r="W182" t="str">
        <f t="shared" si="54"/>
        <v>High Target</v>
      </c>
      <c r="X182" t="str">
        <f t="shared" si="55"/>
        <v>Medium Target</v>
      </c>
      <c r="Y182" t="s">
        <v>113</v>
      </c>
      <c r="Z182" t="str">
        <f t="shared" si="56"/>
        <v>QUICK RESPONSE</v>
      </c>
      <c r="AA182" t="str">
        <f t="shared" si="57"/>
        <v>quick response</v>
      </c>
      <c r="AB182" t="str">
        <f t="shared" si="58"/>
        <v>Quick Response</v>
      </c>
    </row>
    <row r="183" spans="1:28">
      <c r="A183" t="s">
        <v>745</v>
      </c>
      <c r="B183" t="s">
        <v>746</v>
      </c>
      <c r="C183">
        <f t="shared" si="41"/>
        <v>11</v>
      </c>
      <c r="D183" t="s">
        <v>42</v>
      </c>
      <c r="E183" t="str">
        <f t="shared" si="40"/>
        <v>Nidhi Verma(E1182) - Finance</v>
      </c>
      <c r="F183" t="str">
        <f t="shared" si="42"/>
        <v>Finance</v>
      </c>
      <c r="G183">
        <f t="shared" si="43"/>
        <v>20</v>
      </c>
      <c r="H183" t="str">
        <f t="shared" si="44"/>
        <v xml:space="preserve">Nidhi Verma(E1182) </v>
      </c>
      <c r="I183" t="s">
        <v>20</v>
      </c>
      <c r="J183" t="str">
        <f t="shared" si="45"/>
        <v>Pune</v>
      </c>
      <c r="K183" t="s">
        <v>747</v>
      </c>
      <c r="L183" t="str">
        <f t="shared" si="46"/>
        <v>Thursday</v>
      </c>
      <c r="M183" t="str">
        <f t="shared" si="47"/>
        <v>Thu</v>
      </c>
      <c r="N183" t="str">
        <f t="shared" si="48"/>
        <v>day</v>
      </c>
      <c r="O183">
        <f t="shared" si="49"/>
        <v>12</v>
      </c>
      <c r="P183">
        <f t="shared" si="50"/>
        <v>2023</v>
      </c>
      <c r="Q183" t="s">
        <v>748</v>
      </c>
      <c r="R183">
        <f t="shared" si="51"/>
        <v>10</v>
      </c>
      <c r="S183">
        <f t="shared" si="52"/>
        <v>32</v>
      </c>
      <c r="T183">
        <f t="shared" si="53"/>
        <v>50</v>
      </c>
      <c r="U183">
        <v>59599</v>
      </c>
      <c r="V183">
        <v>73267</v>
      </c>
      <c r="W183" t="str">
        <f t="shared" si="54"/>
        <v>High Target</v>
      </c>
      <c r="X183" t="str">
        <f t="shared" si="55"/>
        <v>Medium Target</v>
      </c>
      <c r="Y183" t="s">
        <v>169</v>
      </c>
      <c r="Z183" t="str">
        <f t="shared" si="56"/>
        <v>DETAILED ANALYSIS</v>
      </c>
      <c r="AA183" t="str">
        <f t="shared" si="57"/>
        <v>detailed analysis</v>
      </c>
      <c r="AB183" t="str">
        <f t="shared" si="58"/>
        <v>Detailed Analysis</v>
      </c>
    </row>
    <row r="184" spans="1:28">
      <c r="A184" t="s">
        <v>749</v>
      </c>
      <c r="B184" t="s">
        <v>750</v>
      </c>
      <c r="C184">
        <f t="shared" si="41"/>
        <v>12</v>
      </c>
      <c r="D184" t="s">
        <v>12</v>
      </c>
      <c r="E184" t="str">
        <f t="shared" si="40"/>
        <v>Isha Agarwal(E1183) - Sales</v>
      </c>
      <c r="F184" t="str">
        <f t="shared" si="42"/>
        <v>Sales</v>
      </c>
      <c r="G184">
        <f t="shared" si="43"/>
        <v>21</v>
      </c>
      <c r="H184" t="str">
        <f t="shared" si="44"/>
        <v xml:space="preserve">Isha Agarwal(E1183) </v>
      </c>
      <c r="I184" t="s">
        <v>90</v>
      </c>
      <c r="J184" t="str">
        <f t="shared" si="45"/>
        <v>Kolk@ta</v>
      </c>
      <c r="K184" t="s">
        <v>751</v>
      </c>
      <c r="L184" t="str">
        <f t="shared" si="46"/>
        <v>Saturday</v>
      </c>
      <c r="M184" t="str">
        <f t="shared" si="47"/>
        <v>Sat</v>
      </c>
      <c r="N184" t="str">
        <f t="shared" si="48"/>
        <v>day</v>
      </c>
      <c r="O184">
        <f t="shared" si="49"/>
        <v>2</v>
      </c>
      <c r="P184">
        <f t="shared" si="50"/>
        <v>2023</v>
      </c>
      <c r="Q184" t="s">
        <v>752</v>
      </c>
      <c r="R184">
        <f t="shared" si="51"/>
        <v>9</v>
      </c>
      <c r="S184">
        <f t="shared" si="52"/>
        <v>47</v>
      </c>
      <c r="T184">
        <f t="shared" si="53"/>
        <v>1</v>
      </c>
      <c r="U184">
        <v>52829</v>
      </c>
      <c r="V184">
        <v>63402</v>
      </c>
      <c r="W184" t="str">
        <f t="shared" si="54"/>
        <v>High Target</v>
      </c>
      <c r="X184" t="str">
        <f t="shared" si="55"/>
        <v>Medium Target</v>
      </c>
      <c r="Y184" t="s">
        <v>122</v>
      </c>
      <c r="Z184" t="str">
        <f t="shared" si="56"/>
        <v>CREATIVE IDEAS</v>
      </c>
      <c r="AA184" t="str">
        <f t="shared" si="57"/>
        <v>creative ideas</v>
      </c>
      <c r="AB184" t="str">
        <f t="shared" si="58"/>
        <v>Creative Ideas</v>
      </c>
    </row>
    <row r="185" spans="1:28">
      <c r="A185" t="s">
        <v>753</v>
      </c>
      <c r="B185" t="s">
        <v>754</v>
      </c>
      <c r="C185">
        <f t="shared" si="41"/>
        <v>11</v>
      </c>
      <c r="D185" t="s">
        <v>42</v>
      </c>
      <c r="E185" t="str">
        <f t="shared" si="40"/>
        <v>Pooja Singh(E1184) - Finance</v>
      </c>
      <c r="F185" t="str">
        <f t="shared" si="42"/>
        <v>Finance</v>
      </c>
      <c r="G185">
        <f t="shared" si="43"/>
        <v>20</v>
      </c>
      <c r="H185" t="str">
        <f t="shared" si="44"/>
        <v xml:space="preserve">Pooja Singh(E1184) </v>
      </c>
      <c r="I185" t="s">
        <v>66</v>
      </c>
      <c r="J185" t="str">
        <f t="shared" si="45"/>
        <v>Delhi</v>
      </c>
      <c r="K185" t="s">
        <v>755</v>
      </c>
      <c r="L185" t="str">
        <f t="shared" si="46"/>
        <v>Thursday</v>
      </c>
      <c r="M185" t="str">
        <f t="shared" si="47"/>
        <v>Thu</v>
      </c>
      <c r="N185" t="str">
        <f t="shared" si="48"/>
        <v>day</v>
      </c>
      <c r="O185">
        <f t="shared" si="49"/>
        <v>4</v>
      </c>
      <c r="P185">
        <f t="shared" si="50"/>
        <v>2021</v>
      </c>
      <c r="Q185" t="s">
        <v>756</v>
      </c>
      <c r="R185">
        <f t="shared" si="51"/>
        <v>9</v>
      </c>
      <c r="S185">
        <f t="shared" si="52"/>
        <v>34</v>
      </c>
      <c r="T185">
        <f t="shared" si="53"/>
        <v>21</v>
      </c>
      <c r="U185">
        <v>89788</v>
      </c>
      <c r="V185">
        <v>93314</v>
      </c>
      <c r="W185" t="str">
        <f t="shared" si="54"/>
        <v>High Target</v>
      </c>
      <c r="X185" t="str">
        <f t="shared" si="55"/>
        <v>High Target</v>
      </c>
      <c r="Y185" t="s">
        <v>214</v>
      </c>
      <c r="Z185" t="str">
        <f t="shared" si="56"/>
        <v>POSITIVE ATTITUDE</v>
      </c>
      <c r="AA185" t="str">
        <f t="shared" si="57"/>
        <v>positive attitude</v>
      </c>
      <c r="AB185" t="str">
        <f t="shared" si="58"/>
        <v>Positive Attitude</v>
      </c>
    </row>
    <row r="186" spans="1:28">
      <c r="A186" t="s">
        <v>757</v>
      </c>
      <c r="B186" t="s">
        <v>758</v>
      </c>
      <c r="C186">
        <f t="shared" si="41"/>
        <v>14</v>
      </c>
      <c r="D186" t="s">
        <v>27</v>
      </c>
      <c r="E186" t="str">
        <f t="shared" si="40"/>
        <v>Harsh Malhotra(E1185) - Marketing</v>
      </c>
      <c r="F186" t="str">
        <f t="shared" si="42"/>
        <v>Marketing</v>
      </c>
      <c r="G186">
        <f t="shared" si="43"/>
        <v>23</v>
      </c>
      <c r="H186" t="str">
        <f t="shared" si="44"/>
        <v xml:space="preserve">Harsh Malhotra(E1185) </v>
      </c>
      <c r="I186" t="s">
        <v>66</v>
      </c>
      <c r="J186" t="str">
        <f t="shared" si="45"/>
        <v>Delhi</v>
      </c>
      <c r="K186" t="s">
        <v>759</v>
      </c>
      <c r="L186" t="str">
        <f t="shared" si="46"/>
        <v>Monday</v>
      </c>
      <c r="M186" t="str">
        <f t="shared" si="47"/>
        <v>Mon</v>
      </c>
      <c r="N186" t="str">
        <f t="shared" si="48"/>
        <v>day</v>
      </c>
      <c r="O186">
        <f t="shared" si="49"/>
        <v>10</v>
      </c>
      <c r="P186">
        <f t="shared" si="50"/>
        <v>2021</v>
      </c>
      <c r="Q186" t="s">
        <v>760</v>
      </c>
      <c r="R186">
        <f t="shared" si="51"/>
        <v>8</v>
      </c>
      <c r="S186">
        <f t="shared" si="52"/>
        <v>45</v>
      </c>
      <c r="T186">
        <f t="shared" si="53"/>
        <v>49</v>
      </c>
      <c r="U186">
        <v>57417</v>
      </c>
      <c r="V186">
        <v>69994</v>
      </c>
      <c r="W186" t="str">
        <f t="shared" si="54"/>
        <v>High Target</v>
      </c>
      <c r="X186" t="str">
        <f t="shared" si="55"/>
        <v>Medium Target</v>
      </c>
      <c r="Y186" t="s">
        <v>143</v>
      </c>
      <c r="Z186" t="str">
        <f t="shared" si="56"/>
        <v>NEEDS IMPROVEMENT</v>
      </c>
      <c r="AA186" t="str">
        <f t="shared" si="57"/>
        <v>needs improvement</v>
      </c>
      <c r="AB186" t="str">
        <f t="shared" si="58"/>
        <v>Needs Improvement</v>
      </c>
    </row>
    <row r="187" spans="1:28">
      <c r="A187" t="s">
        <v>761</v>
      </c>
      <c r="B187" t="s">
        <v>762</v>
      </c>
      <c r="C187">
        <f t="shared" si="41"/>
        <v>11</v>
      </c>
      <c r="D187" t="s">
        <v>54</v>
      </c>
      <c r="E187" t="str">
        <f t="shared" si="40"/>
        <v>Karan Patel(E1186) - HR</v>
      </c>
      <c r="F187" t="str">
        <f t="shared" si="42"/>
        <v>HR</v>
      </c>
      <c r="G187">
        <f t="shared" si="43"/>
        <v>20</v>
      </c>
      <c r="H187" t="str">
        <f t="shared" si="44"/>
        <v xml:space="preserve">Karan Patel(E1186) </v>
      </c>
      <c r="I187" t="s">
        <v>73</v>
      </c>
      <c r="J187" t="str">
        <f t="shared" si="45"/>
        <v>Mumb@i</v>
      </c>
      <c r="K187" t="s">
        <v>74</v>
      </c>
      <c r="L187" t="str">
        <f t="shared" si="46"/>
        <v>Sunday</v>
      </c>
      <c r="M187" t="str">
        <f t="shared" si="47"/>
        <v>Sun</v>
      </c>
      <c r="N187" t="str">
        <f t="shared" si="48"/>
        <v>day</v>
      </c>
      <c r="O187">
        <f t="shared" si="49"/>
        <v>10</v>
      </c>
      <c r="P187">
        <f t="shared" si="50"/>
        <v>2022</v>
      </c>
      <c r="Q187" t="s">
        <v>763</v>
      </c>
      <c r="R187">
        <f t="shared" si="51"/>
        <v>9</v>
      </c>
      <c r="S187">
        <f t="shared" si="52"/>
        <v>32</v>
      </c>
      <c r="T187">
        <f t="shared" si="53"/>
        <v>25</v>
      </c>
      <c r="U187">
        <v>109462</v>
      </c>
      <c r="V187">
        <v>93438</v>
      </c>
      <c r="W187" t="str">
        <f t="shared" si="54"/>
        <v>High Target</v>
      </c>
      <c r="X187" t="str">
        <f t="shared" si="55"/>
        <v>High Target</v>
      </c>
      <c r="Y187" t="s">
        <v>143</v>
      </c>
      <c r="Z187" t="str">
        <f t="shared" si="56"/>
        <v>NEEDS IMPROVEMENT</v>
      </c>
      <c r="AA187" t="str">
        <f t="shared" si="57"/>
        <v>needs improvement</v>
      </c>
      <c r="AB187" t="str">
        <f t="shared" si="58"/>
        <v>Needs Improvement</v>
      </c>
    </row>
    <row r="188" spans="1:28">
      <c r="A188" t="s">
        <v>764</v>
      </c>
      <c r="B188" t="s">
        <v>765</v>
      </c>
      <c r="C188">
        <f t="shared" si="41"/>
        <v>11</v>
      </c>
      <c r="D188" t="s">
        <v>42</v>
      </c>
      <c r="E188" t="str">
        <f t="shared" si="40"/>
        <v>Priya Mehta(E1187) - Finance</v>
      </c>
      <c r="F188" t="str">
        <f t="shared" si="42"/>
        <v>Finance</v>
      </c>
      <c r="G188">
        <f t="shared" si="43"/>
        <v>20</v>
      </c>
      <c r="H188" t="str">
        <f t="shared" si="44"/>
        <v xml:space="preserve">Priya Mehta(E1187) </v>
      </c>
      <c r="I188" t="s">
        <v>35</v>
      </c>
      <c r="J188" t="str">
        <f t="shared" si="45"/>
        <v>Hyder@bad</v>
      </c>
      <c r="K188" t="s">
        <v>766</v>
      </c>
      <c r="L188" t="str">
        <f t="shared" si="46"/>
        <v>Thursday</v>
      </c>
      <c r="M188" t="str">
        <f t="shared" si="47"/>
        <v>Thu</v>
      </c>
      <c r="N188" t="str">
        <f t="shared" si="48"/>
        <v>day</v>
      </c>
      <c r="O188">
        <f t="shared" si="49"/>
        <v>4</v>
      </c>
      <c r="P188">
        <f t="shared" si="50"/>
        <v>2021</v>
      </c>
      <c r="Q188" t="s">
        <v>767</v>
      </c>
      <c r="R188">
        <f t="shared" si="51"/>
        <v>10</v>
      </c>
      <c r="S188">
        <f t="shared" si="52"/>
        <v>21</v>
      </c>
      <c r="T188">
        <f t="shared" si="53"/>
        <v>17</v>
      </c>
      <c r="U188">
        <v>57275</v>
      </c>
      <c r="V188">
        <v>48157</v>
      </c>
      <c r="W188" t="str">
        <f t="shared" si="54"/>
        <v>Low Target</v>
      </c>
      <c r="X188" t="str">
        <f t="shared" si="55"/>
        <v>Low Target</v>
      </c>
      <c r="Y188" t="s">
        <v>169</v>
      </c>
      <c r="Z188" t="str">
        <f t="shared" si="56"/>
        <v>DETAILED ANALYSIS</v>
      </c>
      <c r="AA188" t="str">
        <f t="shared" si="57"/>
        <v>detailed analysis</v>
      </c>
      <c r="AB188" t="str">
        <f t="shared" si="58"/>
        <v>Detailed Analysis</v>
      </c>
    </row>
    <row r="189" spans="1:28">
      <c r="A189" t="s">
        <v>768</v>
      </c>
      <c r="B189" t="s">
        <v>769</v>
      </c>
      <c r="C189">
        <f t="shared" si="41"/>
        <v>13</v>
      </c>
      <c r="D189" t="s">
        <v>27</v>
      </c>
      <c r="E189" t="str">
        <f t="shared" si="40"/>
        <v>Aditya Bansal(E1188) - Marketing</v>
      </c>
      <c r="F189" t="str">
        <f t="shared" si="42"/>
        <v>Marketing</v>
      </c>
      <c r="G189">
        <f t="shared" si="43"/>
        <v>22</v>
      </c>
      <c r="H189" t="str">
        <f t="shared" si="44"/>
        <v xml:space="preserve">Aditya Bansal(E1188) </v>
      </c>
      <c r="I189" t="s">
        <v>90</v>
      </c>
      <c r="J189" t="str">
        <f t="shared" si="45"/>
        <v>Kolk@ta</v>
      </c>
      <c r="K189" t="s">
        <v>770</v>
      </c>
      <c r="L189" t="str">
        <f t="shared" si="46"/>
        <v>Saturday</v>
      </c>
      <c r="M189" t="str">
        <f t="shared" si="47"/>
        <v>Sat</v>
      </c>
      <c r="N189" t="str">
        <f t="shared" si="48"/>
        <v>day</v>
      </c>
      <c r="O189">
        <f t="shared" si="49"/>
        <v>11</v>
      </c>
      <c r="P189">
        <f t="shared" si="50"/>
        <v>2022</v>
      </c>
      <c r="Q189" t="s">
        <v>771</v>
      </c>
      <c r="R189">
        <f t="shared" si="51"/>
        <v>8</v>
      </c>
      <c r="S189">
        <f t="shared" si="52"/>
        <v>31</v>
      </c>
      <c r="T189">
        <f t="shared" si="53"/>
        <v>44</v>
      </c>
      <c r="U189">
        <v>81679</v>
      </c>
      <c r="V189">
        <v>72605</v>
      </c>
      <c r="W189" t="str">
        <f t="shared" si="54"/>
        <v>High Target</v>
      </c>
      <c r="X189" t="str">
        <f t="shared" si="55"/>
        <v>Medium Target</v>
      </c>
      <c r="Y189" t="s">
        <v>488</v>
      </c>
      <c r="Z189" t="str">
        <f t="shared" si="56"/>
        <v>GREAT SUPPORT</v>
      </c>
      <c r="AA189" t="str">
        <f t="shared" si="57"/>
        <v>great support</v>
      </c>
      <c r="AB189" t="str">
        <f t="shared" si="58"/>
        <v>Great Support</v>
      </c>
    </row>
    <row r="190" spans="1:28">
      <c r="A190" t="s">
        <v>772</v>
      </c>
      <c r="B190" t="s">
        <v>773</v>
      </c>
      <c r="C190">
        <f t="shared" si="41"/>
        <v>12</v>
      </c>
      <c r="D190" t="s">
        <v>42</v>
      </c>
      <c r="E190" t="str">
        <f t="shared" si="40"/>
        <v>Tanya Saxena(E1189) - Finance</v>
      </c>
      <c r="F190" t="str">
        <f t="shared" si="42"/>
        <v>Finance</v>
      </c>
      <c r="G190">
        <f t="shared" si="43"/>
        <v>21</v>
      </c>
      <c r="H190" t="str">
        <f t="shared" si="44"/>
        <v xml:space="preserve">Tanya Saxena(E1189) </v>
      </c>
      <c r="I190" t="s">
        <v>20</v>
      </c>
      <c r="J190" t="str">
        <f t="shared" si="45"/>
        <v>Pune</v>
      </c>
      <c r="K190" t="s">
        <v>774</v>
      </c>
      <c r="L190" t="str">
        <f t="shared" si="46"/>
        <v>Saturday</v>
      </c>
      <c r="M190" t="str">
        <f t="shared" si="47"/>
        <v>Sat</v>
      </c>
      <c r="N190" t="str">
        <f t="shared" si="48"/>
        <v>day</v>
      </c>
      <c r="O190">
        <f t="shared" si="49"/>
        <v>5</v>
      </c>
      <c r="P190">
        <f t="shared" si="50"/>
        <v>2023</v>
      </c>
      <c r="Q190" t="s">
        <v>775</v>
      </c>
      <c r="R190">
        <f t="shared" si="51"/>
        <v>8</v>
      </c>
      <c r="S190">
        <f t="shared" si="52"/>
        <v>27</v>
      </c>
      <c r="T190">
        <f t="shared" si="53"/>
        <v>38</v>
      </c>
      <c r="U190">
        <v>90718</v>
      </c>
      <c r="V190">
        <v>93892</v>
      </c>
      <c r="W190" t="str">
        <f t="shared" si="54"/>
        <v>High Target</v>
      </c>
      <c r="X190" t="str">
        <f t="shared" si="55"/>
        <v>High Target</v>
      </c>
      <c r="Y190" t="s">
        <v>45</v>
      </c>
      <c r="Z190" t="str">
        <f t="shared" si="56"/>
        <v>STRONG PRESENTATION</v>
      </c>
      <c r="AA190" t="str">
        <f t="shared" si="57"/>
        <v>strong presentation</v>
      </c>
      <c r="AB190" t="str">
        <f t="shared" si="58"/>
        <v>Strong Presentation</v>
      </c>
    </row>
    <row r="191" spans="1:28">
      <c r="A191" t="s">
        <v>776</v>
      </c>
      <c r="B191" t="s">
        <v>777</v>
      </c>
      <c r="C191">
        <f t="shared" si="41"/>
        <v>11</v>
      </c>
      <c r="D191" t="s">
        <v>12</v>
      </c>
      <c r="E191" t="str">
        <f t="shared" si="40"/>
        <v>Anjali Iyer(E1190) - Sales</v>
      </c>
      <c r="F191" t="str">
        <f t="shared" si="42"/>
        <v>Sales</v>
      </c>
      <c r="G191">
        <f t="shared" si="43"/>
        <v>20</v>
      </c>
      <c r="H191" t="str">
        <f t="shared" si="44"/>
        <v xml:space="preserve">Anjali Iyer(E1190) </v>
      </c>
      <c r="I191" t="s">
        <v>20</v>
      </c>
      <c r="J191" t="str">
        <f t="shared" si="45"/>
        <v>Pune</v>
      </c>
      <c r="K191" t="s">
        <v>778</v>
      </c>
      <c r="L191" t="str">
        <f t="shared" si="46"/>
        <v>Thursday</v>
      </c>
      <c r="M191" t="str">
        <f t="shared" si="47"/>
        <v>Thu</v>
      </c>
      <c r="N191" t="str">
        <f t="shared" si="48"/>
        <v>day</v>
      </c>
      <c r="O191">
        <f t="shared" si="49"/>
        <v>11</v>
      </c>
      <c r="P191">
        <f t="shared" si="50"/>
        <v>2022</v>
      </c>
      <c r="Q191" t="s">
        <v>779</v>
      </c>
      <c r="R191">
        <f t="shared" si="51"/>
        <v>10</v>
      </c>
      <c r="S191">
        <f t="shared" si="52"/>
        <v>18</v>
      </c>
      <c r="T191">
        <f t="shared" si="53"/>
        <v>19</v>
      </c>
      <c r="U191">
        <v>82148</v>
      </c>
      <c r="V191">
        <v>69223</v>
      </c>
      <c r="W191" t="str">
        <f t="shared" si="54"/>
        <v>High Target</v>
      </c>
      <c r="X191" t="str">
        <f t="shared" si="55"/>
        <v>Medium Target</v>
      </c>
      <c r="Y191" t="s">
        <v>113</v>
      </c>
      <c r="Z191" t="str">
        <f t="shared" si="56"/>
        <v>QUICK RESPONSE</v>
      </c>
      <c r="AA191" t="str">
        <f t="shared" si="57"/>
        <v>quick response</v>
      </c>
      <c r="AB191" t="str">
        <f t="shared" si="58"/>
        <v>Quick Response</v>
      </c>
    </row>
    <row r="192" spans="1:28">
      <c r="A192" t="s">
        <v>780</v>
      </c>
      <c r="B192" t="s">
        <v>354</v>
      </c>
      <c r="C192">
        <f t="shared" si="41"/>
        <v>18</v>
      </c>
      <c r="D192" t="s">
        <v>42</v>
      </c>
      <c r="E192" t="str">
        <f t="shared" si="40"/>
        <v>Siddharth Malhotra(E1191) - Finance</v>
      </c>
      <c r="F192" t="str">
        <f t="shared" si="42"/>
        <v>Finance</v>
      </c>
      <c r="G192">
        <f t="shared" si="43"/>
        <v>27</v>
      </c>
      <c r="H192" t="str">
        <f t="shared" si="44"/>
        <v xml:space="preserve">Siddharth Malhotra(E1191) </v>
      </c>
      <c r="I192" t="s">
        <v>80</v>
      </c>
      <c r="J192" t="str">
        <f t="shared" si="45"/>
        <v>Ahmed@bad</v>
      </c>
      <c r="K192" t="s">
        <v>633</v>
      </c>
      <c r="L192" t="str">
        <f t="shared" si="46"/>
        <v>Sunday</v>
      </c>
      <c r="M192" t="str">
        <f t="shared" si="47"/>
        <v>Sun</v>
      </c>
      <c r="N192" t="str">
        <f t="shared" si="48"/>
        <v>day</v>
      </c>
      <c r="O192">
        <f t="shared" si="49"/>
        <v>3</v>
      </c>
      <c r="P192">
        <f t="shared" si="50"/>
        <v>2021</v>
      </c>
      <c r="Q192" t="s">
        <v>781</v>
      </c>
      <c r="R192">
        <f t="shared" si="51"/>
        <v>10</v>
      </c>
      <c r="S192">
        <f t="shared" si="52"/>
        <v>55</v>
      </c>
      <c r="T192">
        <f t="shared" si="53"/>
        <v>58</v>
      </c>
      <c r="U192">
        <v>76609</v>
      </c>
      <c r="V192">
        <v>63105</v>
      </c>
      <c r="W192" t="str">
        <f t="shared" si="54"/>
        <v>High Target</v>
      </c>
      <c r="X192" t="str">
        <f t="shared" si="55"/>
        <v>Medium Target</v>
      </c>
      <c r="Y192" t="s">
        <v>143</v>
      </c>
      <c r="Z192" t="str">
        <f t="shared" si="56"/>
        <v>NEEDS IMPROVEMENT</v>
      </c>
      <c r="AA192" t="str">
        <f t="shared" si="57"/>
        <v>needs improvement</v>
      </c>
      <c r="AB192" t="str">
        <f t="shared" si="58"/>
        <v>Needs Improvement</v>
      </c>
    </row>
    <row r="193" spans="1:28">
      <c r="A193" t="s">
        <v>782</v>
      </c>
      <c r="B193" t="s">
        <v>783</v>
      </c>
      <c r="C193">
        <f t="shared" si="41"/>
        <v>10</v>
      </c>
      <c r="D193" t="s">
        <v>12</v>
      </c>
      <c r="E193" t="str">
        <f t="shared" si="40"/>
        <v>Yash Patel(E1192) - Sales</v>
      </c>
      <c r="F193" t="str">
        <f t="shared" si="42"/>
        <v>Sales</v>
      </c>
      <c r="G193">
        <f t="shared" si="43"/>
        <v>19</v>
      </c>
      <c r="H193" t="str">
        <f t="shared" si="44"/>
        <v xml:space="preserve">Yash Patel(E1192) </v>
      </c>
      <c r="I193" t="s">
        <v>90</v>
      </c>
      <c r="J193" t="str">
        <f t="shared" si="45"/>
        <v>Kolk@ta</v>
      </c>
      <c r="K193" t="s">
        <v>784</v>
      </c>
      <c r="L193" t="str">
        <f t="shared" si="46"/>
        <v>Sunday</v>
      </c>
      <c r="M193" t="str">
        <f t="shared" si="47"/>
        <v>Sun</v>
      </c>
      <c r="N193" t="str">
        <f t="shared" si="48"/>
        <v>day</v>
      </c>
      <c r="O193">
        <f t="shared" si="49"/>
        <v>1</v>
      </c>
      <c r="P193">
        <f t="shared" si="50"/>
        <v>2023</v>
      </c>
      <c r="Q193" t="s">
        <v>785</v>
      </c>
      <c r="R193">
        <f t="shared" si="51"/>
        <v>10</v>
      </c>
      <c r="S193">
        <f t="shared" si="52"/>
        <v>51</v>
      </c>
      <c r="T193">
        <f t="shared" si="53"/>
        <v>47</v>
      </c>
      <c r="U193">
        <v>80009</v>
      </c>
      <c r="V193">
        <v>84525</v>
      </c>
      <c r="W193" t="str">
        <f t="shared" si="54"/>
        <v>High Target</v>
      </c>
      <c r="X193" t="str">
        <f t="shared" si="55"/>
        <v>High Target</v>
      </c>
      <c r="Y193" t="s">
        <v>160</v>
      </c>
      <c r="Z193" t="str">
        <f t="shared" si="56"/>
        <v>EXCELLENT SERVICE</v>
      </c>
      <c r="AA193" t="str">
        <f t="shared" si="57"/>
        <v>excellent service</v>
      </c>
      <c r="AB193" t="str">
        <f t="shared" si="58"/>
        <v>Excellent Service</v>
      </c>
    </row>
    <row r="194" spans="1:28">
      <c r="A194" t="s">
        <v>786</v>
      </c>
      <c r="B194" t="s">
        <v>787</v>
      </c>
      <c r="C194">
        <f t="shared" si="41"/>
        <v>10</v>
      </c>
      <c r="D194" t="s">
        <v>27</v>
      </c>
      <c r="E194" t="str">
        <f t="shared" ref="E194:E257" si="59">_xlfn.CONCAT(B194,"(",A194,")"," - ",D194)</f>
        <v>Arjun Jain(E1193) - Marketing</v>
      </c>
      <c r="F194" t="str">
        <f t="shared" si="42"/>
        <v>Marketing</v>
      </c>
      <c r="G194">
        <f t="shared" si="43"/>
        <v>19</v>
      </c>
      <c r="H194" t="str">
        <f t="shared" si="44"/>
        <v xml:space="preserve">Arjun Jain(E1193) </v>
      </c>
      <c r="I194" t="s">
        <v>73</v>
      </c>
      <c r="J194" t="str">
        <f t="shared" si="45"/>
        <v>Mumb@i</v>
      </c>
      <c r="K194" t="s">
        <v>459</v>
      </c>
      <c r="L194" t="str">
        <f t="shared" si="46"/>
        <v>Thursday</v>
      </c>
      <c r="M194" t="str">
        <f t="shared" si="47"/>
        <v>Thu</v>
      </c>
      <c r="N194" t="str">
        <f t="shared" si="48"/>
        <v>day</v>
      </c>
      <c r="O194">
        <f t="shared" si="49"/>
        <v>9</v>
      </c>
      <c r="P194">
        <f t="shared" si="50"/>
        <v>2021</v>
      </c>
      <c r="Q194" t="s">
        <v>788</v>
      </c>
      <c r="R194">
        <f t="shared" si="51"/>
        <v>8</v>
      </c>
      <c r="S194">
        <f t="shared" si="52"/>
        <v>15</v>
      </c>
      <c r="T194">
        <f t="shared" si="53"/>
        <v>49</v>
      </c>
      <c r="U194">
        <v>91288</v>
      </c>
      <c r="V194">
        <v>82281</v>
      </c>
      <c r="W194" t="str">
        <f t="shared" si="54"/>
        <v>High Target</v>
      </c>
      <c r="X194" t="str">
        <f t="shared" si="55"/>
        <v>High Target</v>
      </c>
      <c r="Y194" t="s">
        <v>122</v>
      </c>
      <c r="Z194" t="str">
        <f t="shared" si="56"/>
        <v>CREATIVE IDEAS</v>
      </c>
      <c r="AA194" t="str">
        <f t="shared" si="57"/>
        <v>creative ideas</v>
      </c>
      <c r="AB194" t="str">
        <f t="shared" si="58"/>
        <v>Creative Ideas</v>
      </c>
    </row>
    <row r="195" spans="1:28">
      <c r="A195" t="s">
        <v>789</v>
      </c>
      <c r="B195" t="s">
        <v>790</v>
      </c>
      <c r="C195">
        <f t="shared" ref="C195:C258" si="60">LEN(B195)</f>
        <v>13</v>
      </c>
      <c r="D195" t="s">
        <v>12</v>
      </c>
      <c r="E195" t="str">
        <f t="shared" si="59"/>
        <v>Suresh Mishra(E1194) - Sales</v>
      </c>
      <c r="F195" t="str">
        <f t="shared" ref="F195:F258" si="61">RIGHT(E195,LEN(E195)-FIND("- ",E195)-1)</f>
        <v>Sales</v>
      </c>
      <c r="G195">
        <f t="shared" ref="G195:G258" si="62">FIND("-",E195)</f>
        <v>22</v>
      </c>
      <c r="H195" t="str">
        <f t="shared" ref="H195:H258" si="63">LEFT(E195,FIND("-",E195)-1)</f>
        <v xml:space="preserve">Suresh Mishra(E1194) </v>
      </c>
      <c r="I195" t="s">
        <v>66</v>
      </c>
      <c r="J195" t="str">
        <f t="shared" ref="J195:J258" si="64">SUBSTITUTE(I195,"a","@",1)</f>
        <v>Delhi</v>
      </c>
      <c r="K195" t="s">
        <v>791</v>
      </c>
      <c r="L195" t="str">
        <f t="shared" ref="L195:L258" si="65">TEXT(K195,"dddd")</f>
        <v>Tuesday</v>
      </c>
      <c r="M195" t="str">
        <f t="shared" ref="M195:M258" si="66">LEFT(L195,3)</f>
        <v>Tue</v>
      </c>
      <c r="N195" t="str">
        <f t="shared" ref="N195:N258" si="67">RIGHT(L195,3)</f>
        <v>day</v>
      </c>
      <c r="O195">
        <f t="shared" ref="O195:O258" si="68">MONTH(K195)</f>
        <v>10</v>
      </c>
      <c r="P195">
        <f t="shared" ref="P195:P258" si="69">YEAR(K195)</f>
        <v>2024</v>
      </c>
      <c r="Q195" t="s">
        <v>792</v>
      </c>
      <c r="R195">
        <f t="shared" ref="R195:R258" si="70">HOUR(Q195)</f>
        <v>9</v>
      </c>
      <c r="S195">
        <f t="shared" ref="S195:S258" si="71">MINUTE(Q195)</f>
        <v>23</v>
      </c>
      <c r="T195">
        <f t="shared" ref="T195:T258" si="72">SECOND(Q195)</f>
        <v>23</v>
      </c>
      <c r="U195">
        <v>59132</v>
      </c>
      <c r="V195">
        <v>69094</v>
      </c>
      <c r="W195" t="str">
        <f t="shared" ref="W195:W258" si="73">IF(V195&gt;50000,"High Target","Low Target")</f>
        <v>High Target</v>
      </c>
      <c r="X195" t="str">
        <f t="shared" ref="X195:X258" si="74">_xlfn.IFS(V195&lt;60000,"Low Target",V195&lt;80000,"Medium Target",V195&gt;80000,"High Target")</f>
        <v>Medium Target</v>
      </c>
      <c r="Y195" t="s">
        <v>16</v>
      </c>
      <c r="Z195" t="str">
        <f t="shared" ref="Z195:Z258" si="75">UPPER(Y195)</f>
        <v>EXCELLENT LEADERSHIP</v>
      </c>
      <c r="AA195" t="str">
        <f t="shared" ref="AA195:AA258" si="76">LOWER(Y195)</f>
        <v>excellent leadership</v>
      </c>
      <c r="AB195" t="str">
        <f t="shared" ref="AB195:AB258" si="77">PROPER(Y195)</f>
        <v>Excellent Leadership</v>
      </c>
    </row>
    <row r="196" spans="1:28">
      <c r="A196" t="s">
        <v>793</v>
      </c>
      <c r="B196" t="s">
        <v>692</v>
      </c>
      <c r="C196">
        <f t="shared" si="60"/>
        <v>12</v>
      </c>
      <c r="D196" t="s">
        <v>42</v>
      </c>
      <c r="E196" t="str">
        <f t="shared" si="59"/>
        <v>Arjun Saxena(E1195) - Finance</v>
      </c>
      <c r="F196" t="str">
        <f t="shared" si="61"/>
        <v>Finance</v>
      </c>
      <c r="G196">
        <f t="shared" si="62"/>
        <v>21</v>
      </c>
      <c r="H196" t="str">
        <f t="shared" si="63"/>
        <v xml:space="preserve">Arjun Saxena(E1195) </v>
      </c>
      <c r="I196" t="s">
        <v>90</v>
      </c>
      <c r="J196" t="str">
        <f t="shared" si="64"/>
        <v>Kolk@ta</v>
      </c>
      <c r="K196" t="s">
        <v>794</v>
      </c>
      <c r="L196" t="str">
        <f t="shared" si="65"/>
        <v>Thursday</v>
      </c>
      <c r="M196" t="str">
        <f t="shared" si="66"/>
        <v>Thu</v>
      </c>
      <c r="N196" t="str">
        <f t="shared" si="67"/>
        <v>day</v>
      </c>
      <c r="O196">
        <f t="shared" si="68"/>
        <v>10</v>
      </c>
      <c r="P196">
        <f t="shared" si="69"/>
        <v>2022</v>
      </c>
      <c r="Q196" t="s">
        <v>795</v>
      </c>
      <c r="R196">
        <f t="shared" si="70"/>
        <v>10</v>
      </c>
      <c r="S196">
        <f t="shared" si="71"/>
        <v>17</v>
      </c>
      <c r="T196">
        <f t="shared" si="72"/>
        <v>15</v>
      </c>
      <c r="U196">
        <v>34132</v>
      </c>
      <c r="V196">
        <v>47434</v>
      </c>
      <c r="W196" t="str">
        <f t="shared" si="73"/>
        <v>Low Target</v>
      </c>
      <c r="X196" t="str">
        <f t="shared" si="74"/>
        <v>Low Target</v>
      </c>
      <c r="Y196" t="s">
        <v>23</v>
      </c>
      <c r="Z196" t="str">
        <f t="shared" si="75"/>
        <v>FAST DELIVERY</v>
      </c>
      <c r="AA196" t="str">
        <f t="shared" si="76"/>
        <v>fast delivery</v>
      </c>
      <c r="AB196" t="str">
        <f t="shared" si="77"/>
        <v>Fast Delivery</v>
      </c>
    </row>
    <row r="197" spans="1:28">
      <c r="A197" t="s">
        <v>796</v>
      </c>
      <c r="B197" t="s">
        <v>797</v>
      </c>
      <c r="C197">
        <f t="shared" si="60"/>
        <v>13</v>
      </c>
      <c r="D197" t="s">
        <v>27</v>
      </c>
      <c r="E197" t="str">
        <f t="shared" si="59"/>
        <v>Sneha Agarwal(E1196) - Marketing</v>
      </c>
      <c r="F197" t="str">
        <f t="shared" si="61"/>
        <v>Marketing</v>
      </c>
      <c r="G197">
        <f t="shared" si="62"/>
        <v>22</v>
      </c>
      <c r="H197" t="str">
        <f t="shared" si="63"/>
        <v xml:space="preserve">Sneha Agarwal(E1196) </v>
      </c>
      <c r="I197" t="s">
        <v>20</v>
      </c>
      <c r="J197" t="str">
        <f t="shared" si="64"/>
        <v>Pune</v>
      </c>
      <c r="K197" t="s">
        <v>798</v>
      </c>
      <c r="L197" t="str">
        <f t="shared" si="65"/>
        <v>Tuesday</v>
      </c>
      <c r="M197" t="str">
        <f t="shared" si="66"/>
        <v>Tue</v>
      </c>
      <c r="N197" t="str">
        <f t="shared" si="67"/>
        <v>day</v>
      </c>
      <c r="O197">
        <f t="shared" si="68"/>
        <v>6</v>
      </c>
      <c r="P197">
        <f t="shared" si="69"/>
        <v>2022</v>
      </c>
      <c r="Q197" t="s">
        <v>799</v>
      </c>
      <c r="R197">
        <f t="shared" si="70"/>
        <v>9</v>
      </c>
      <c r="S197">
        <f t="shared" si="71"/>
        <v>45</v>
      </c>
      <c r="T197">
        <f t="shared" si="72"/>
        <v>28</v>
      </c>
      <c r="U197">
        <v>57777</v>
      </c>
      <c r="V197">
        <v>54062</v>
      </c>
      <c r="W197" t="str">
        <f t="shared" si="73"/>
        <v>High Target</v>
      </c>
      <c r="X197" t="str">
        <f t="shared" si="74"/>
        <v>Low Target</v>
      </c>
      <c r="Y197" t="s">
        <v>23</v>
      </c>
      <c r="Z197" t="str">
        <f t="shared" si="75"/>
        <v>FAST DELIVERY</v>
      </c>
      <c r="AA197" t="str">
        <f t="shared" si="76"/>
        <v>fast delivery</v>
      </c>
      <c r="AB197" t="str">
        <f t="shared" si="77"/>
        <v>Fast Delivery</v>
      </c>
    </row>
    <row r="198" spans="1:28">
      <c r="A198" t="s">
        <v>800</v>
      </c>
      <c r="B198" t="s">
        <v>801</v>
      </c>
      <c r="C198">
        <f t="shared" si="60"/>
        <v>15</v>
      </c>
      <c r="D198" t="s">
        <v>54</v>
      </c>
      <c r="E198" t="str">
        <f t="shared" si="59"/>
        <v>Madhuri Agarwal(E1197) - HR</v>
      </c>
      <c r="F198" t="str">
        <f t="shared" si="61"/>
        <v>HR</v>
      </c>
      <c r="G198">
        <f t="shared" si="62"/>
        <v>24</v>
      </c>
      <c r="H198" t="str">
        <f t="shared" si="63"/>
        <v xml:space="preserve">Madhuri Agarwal(E1197) </v>
      </c>
      <c r="I198" t="s">
        <v>20</v>
      </c>
      <c r="J198" t="str">
        <f t="shared" si="64"/>
        <v>Pune</v>
      </c>
      <c r="K198" t="s">
        <v>296</v>
      </c>
      <c r="L198" t="str">
        <f t="shared" si="65"/>
        <v>Tuesday</v>
      </c>
      <c r="M198" t="str">
        <f t="shared" si="66"/>
        <v>Tue</v>
      </c>
      <c r="N198" t="str">
        <f t="shared" si="67"/>
        <v>day</v>
      </c>
      <c r="O198">
        <f t="shared" si="68"/>
        <v>10</v>
      </c>
      <c r="P198">
        <f t="shared" si="69"/>
        <v>2021</v>
      </c>
      <c r="Q198" t="s">
        <v>802</v>
      </c>
      <c r="R198">
        <f t="shared" si="70"/>
        <v>8</v>
      </c>
      <c r="S198">
        <f t="shared" si="71"/>
        <v>28</v>
      </c>
      <c r="T198">
        <f t="shared" si="72"/>
        <v>11</v>
      </c>
      <c r="U198">
        <v>113065</v>
      </c>
      <c r="V198">
        <v>98895</v>
      </c>
      <c r="W198" t="str">
        <f t="shared" si="73"/>
        <v>High Target</v>
      </c>
      <c r="X198" t="str">
        <f t="shared" si="74"/>
        <v>High Target</v>
      </c>
      <c r="Y198" t="s">
        <v>38</v>
      </c>
      <c r="Z198" t="str">
        <f t="shared" si="75"/>
        <v>GOOD COMMUNICATION</v>
      </c>
      <c r="AA198" t="str">
        <f t="shared" si="76"/>
        <v>good communication</v>
      </c>
      <c r="AB198" t="str">
        <f t="shared" si="77"/>
        <v>Good Communication</v>
      </c>
    </row>
    <row r="199" spans="1:28">
      <c r="A199" t="s">
        <v>803</v>
      </c>
      <c r="B199" t="s">
        <v>673</v>
      </c>
      <c r="C199">
        <f t="shared" si="60"/>
        <v>10</v>
      </c>
      <c r="D199" t="s">
        <v>42</v>
      </c>
      <c r="E199" t="str">
        <f t="shared" si="59"/>
        <v>Tanya Iyer(E1198) - Finance</v>
      </c>
      <c r="F199" t="str">
        <f t="shared" si="61"/>
        <v>Finance</v>
      </c>
      <c r="G199">
        <f t="shared" si="62"/>
        <v>19</v>
      </c>
      <c r="H199" t="str">
        <f t="shared" si="63"/>
        <v xml:space="preserve">Tanya Iyer(E1198) </v>
      </c>
      <c r="I199" t="s">
        <v>20</v>
      </c>
      <c r="J199" t="str">
        <f t="shared" si="64"/>
        <v>Pune</v>
      </c>
      <c r="K199" t="s">
        <v>804</v>
      </c>
      <c r="L199" t="str">
        <f t="shared" si="65"/>
        <v>Thursday</v>
      </c>
      <c r="M199" t="str">
        <f t="shared" si="66"/>
        <v>Thu</v>
      </c>
      <c r="N199" t="str">
        <f t="shared" si="67"/>
        <v>day</v>
      </c>
      <c r="O199">
        <f t="shared" si="68"/>
        <v>2</v>
      </c>
      <c r="P199">
        <f t="shared" si="69"/>
        <v>2024</v>
      </c>
      <c r="Q199" t="s">
        <v>805</v>
      </c>
      <c r="R199">
        <f t="shared" si="70"/>
        <v>10</v>
      </c>
      <c r="S199">
        <f t="shared" si="71"/>
        <v>18</v>
      </c>
      <c r="T199">
        <f t="shared" si="72"/>
        <v>57</v>
      </c>
      <c r="U199">
        <v>54979</v>
      </c>
      <c r="V199">
        <v>59657</v>
      </c>
      <c r="W199" t="str">
        <f t="shared" si="73"/>
        <v>High Target</v>
      </c>
      <c r="X199" t="str">
        <f t="shared" si="74"/>
        <v>Low Target</v>
      </c>
      <c r="Y199" t="s">
        <v>23</v>
      </c>
      <c r="Z199" t="str">
        <f t="shared" si="75"/>
        <v>FAST DELIVERY</v>
      </c>
      <c r="AA199" t="str">
        <f t="shared" si="76"/>
        <v>fast delivery</v>
      </c>
      <c r="AB199" t="str">
        <f t="shared" si="77"/>
        <v>Fast Delivery</v>
      </c>
    </row>
    <row r="200" spans="1:28">
      <c r="A200" t="s">
        <v>806</v>
      </c>
      <c r="B200" t="s">
        <v>807</v>
      </c>
      <c r="C200">
        <f t="shared" si="60"/>
        <v>15</v>
      </c>
      <c r="D200" t="s">
        <v>42</v>
      </c>
      <c r="E200" t="str">
        <f t="shared" si="59"/>
        <v>Siddharth Joshi(E1199) - Finance</v>
      </c>
      <c r="F200" t="str">
        <f t="shared" si="61"/>
        <v>Finance</v>
      </c>
      <c r="G200">
        <f t="shared" si="62"/>
        <v>24</v>
      </c>
      <c r="H200" t="str">
        <f t="shared" si="63"/>
        <v xml:space="preserve">Siddharth Joshi(E1199) </v>
      </c>
      <c r="I200" t="s">
        <v>28</v>
      </c>
      <c r="J200" t="str">
        <f t="shared" si="64"/>
        <v>B@ngalore</v>
      </c>
      <c r="K200" t="s">
        <v>808</v>
      </c>
      <c r="L200" t="str">
        <f t="shared" si="65"/>
        <v>Monday</v>
      </c>
      <c r="M200" t="str">
        <f t="shared" si="66"/>
        <v>Mon</v>
      </c>
      <c r="N200" t="str">
        <f t="shared" si="67"/>
        <v>day</v>
      </c>
      <c r="O200">
        <f t="shared" si="68"/>
        <v>9</v>
      </c>
      <c r="P200">
        <f t="shared" si="69"/>
        <v>2021</v>
      </c>
      <c r="Q200" t="s">
        <v>809</v>
      </c>
      <c r="R200">
        <f t="shared" si="70"/>
        <v>8</v>
      </c>
      <c r="S200">
        <f t="shared" si="71"/>
        <v>50</v>
      </c>
      <c r="T200">
        <f t="shared" si="72"/>
        <v>8</v>
      </c>
      <c r="U200">
        <v>72890</v>
      </c>
      <c r="V200">
        <v>55514</v>
      </c>
      <c r="W200" t="str">
        <f t="shared" si="73"/>
        <v>High Target</v>
      </c>
      <c r="X200" t="str">
        <f t="shared" si="74"/>
        <v>Low Target</v>
      </c>
      <c r="Y200" t="s">
        <v>160</v>
      </c>
      <c r="Z200" t="str">
        <f t="shared" si="75"/>
        <v>EXCELLENT SERVICE</v>
      </c>
      <c r="AA200" t="str">
        <f t="shared" si="76"/>
        <v>excellent service</v>
      </c>
      <c r="AB200" t="str">
        <f t="shared" si="77"/>
        <v>Excellent Service</v>
      </c>
    </row>
    <row r="201" spans="1:28">
      <c r="A201" t="s">
        <v>810</v>
      </c>
      <c r="B201" t="s">
        <v>537</v>
      </c>
      <c r="C201">
        <f t="shared" si="60"/>
        <v>11</v>
      </c>
      <c r="D201" t="s">
        <v>42</v>
      </c>
      <c r="E201" t="str">
        <f t="shared" si="59"/>
        <v>Meera Goyal(E1200) - Finance</v>
      </c>
      <c r="F201" t="str">
        <f t="shared" si="61"/>
        <v>Finance</v>
      </c>
      <c r="G201">
        <f t="shared" si="62"/>
        <v>20</v>
      </c>
      <c r="H201" t="str">
        <f t="shared" si="63"/>
        <v xml:space="preserve">Meera Goyal(E1200) </v>
      </c>
      <c r="I201" t="s">
        <v>80</v>
      </c>
      <c r="J201" t="str">
        <f t="shared" si="64"/>
        <v>Ahmed@bad</v>
      </c>
      <c r="K201" t="s">
        <v>811</v>
      </c>
      <c r="L201" t="str">
        <f t="shared" si="65"/>
        <v>Sunday</v>
      </c>
      <c r="M201" t="str">
        <f t="shared" si="66"/>
        <v>Sun</v>
      </c>
      <c r="N201" t="str">
        <f t="shared" si="67"/>
        <v>day</v>
      </c>
      <c r="O201">
        <f t="shared" si="68"/>
        <v>2</v>
      </c>
      <c r="P201">
        <f t="shared" si="69"/>
        <v>2024</v>
      </c>
      <c r="Q201" t="s">
        <v>527</v>
      </c>
      <c r="R201">
        <f t="shared" si="70"/>
        <v>8</v>
      </c>
      <c r="S201">
        <f t="shared" si="71"/>
        <v>39</v>
      </c>
      <c r="T201">
        <f t="shared" si="72"/>
        <v>56</v>
      </c>
      <c r="U201">
        <v>34958</v>
      </c>
      <c r="V201">
        <v>45650</v>
      </c>
      <c r="W201" t="str">
        <f t="shared" si="73"/>
        <v>Low Target</v>
      </c>
      <c r="X201" t="str">
        <f t="shared" si="74"/>
        <v>Low Target</v>
      </c>
      <c r="Y201" t="s">
        <v>143</v>
      </c>
      <c r="Z201" t="str">
        <f t="shared" si="75"/>
        <v>NEEDS IMPROVEMENT</v>
      </c>
      <c r="AA201" t="str">
        <f t="shared" si="76"/>
        <v>needs improvement</v>
      </c>
      <c r="AB201" t="str">
        <f t="shared" si="77"/>
        <v>Needs Improvement</v>
      </c>
    </row>
    <row r="202" spans="1:28">
      <c r="A202" t="s">
        <v>812</v>
      </c>
      <c r="B202" t="s">
        <v>813</v>
      </c>
      <c r="C202">
        <f t="shared" si="60"/>
        <v>14</v>
      </c>
      <c r="D202" t="s">
        <v>27</v>
      </c>
      <c r="E202" t="str">
        <f t="shared" si="59"/>
        <v>Suresh Agarwal(E1201) - Marketing</v>
      </c>
      <c r="F202" t="str">
        <f t="shared" si="61"/>
        <v>Marketing</v>
      </c>
      <c r="G202">
        <f t="shared" si="62"/>
        <v>23</v>
      </c>
      <c r="H202" t="str">
        <f t="shared" si="63"/>
        <v xml:space="preserve">Suresh Agarwal(E1201) </v>
      </c>
      <c r="I202" t="s">
        <v>90</v>
      </c>
      <c r="J202" t="str">
        <f t="shared" si="64"/>
        <v>Kolk@ta</v>
      </c>
      <c r="K202" t="s">
        <v>814</v>
      </c>
      <c r="L202" t="str">
        <f t="shared" si="65"/>
        <v>Saturday</v>
      </c>
      <c r="M202" t="str">
        <f t="shared" si="66"/>
        <v>Sat</v>
      </c>
      <c r="N202" t="str">
        <f t="shared" si="67"/>
        <v>day</v>
      </c>
      <c r="O202">
        <f t="shared" si="68"/>
        <v>3</v>
      </c>
      <c r="P202">
        <f t="shared" si="69"/>
        <v>2024</v>
      </c>
      <c r="Q202" t="s">
        <v>815</v>
      </c>
      <c r="R202">
        <f t="shared" si="70"/>
        <v>8</v>
      </c>
      <c r="S202">
        <f t="shared" si="71"/>
        <v>8</v>
      </c>
      <c r="T202">
        <f t="shared" si="72"/>
        <v>20</v>
      </c>
      <c r="U202">
        <v>71956</v>
      </c>
      <c r="V202">
        <v>82096</v>
      </c>
      <c r="W202" t="str">
        <f t="shared" si="73"/>
        <v>High Target</v>
      </c>
      <c r="X202" t="str">
        <f t="shared" si="74"/>
        <v>High Target</v>
      </c>
      <c r="Y202" t="s">
        <v>57</v>
      </c>
      <c r="Z202" t="str">
        <f t="shared" si="75"/>
        <v>HELPFUL ATTITUDE</v>
      </c>
      <c r="AA202" t="str">
        <f t="shared" si="76"/>
        <v>helpful attitude</v>
      </c>
      <c r="AB202" t="str">
        <f t="shared" si="77"/>
        <v>Helpful Attitude</v>
      </c>
    </row>
    <row r="203" spans="1:28">
      <c r="A203" t="s">
        <v>816</v>
      </c>
      <c r="B203" t="s">
        <v>817</v>
      </c>
      <c r="C203">
        <f t="shared" si="60"/>
        <v>13</v>
      </c>
      <c r="D203" t="s">
        <v>42</v>
      </c>
      <c r="E203" t="str">
        <f t="shared" si="59"/>
        <v>Deepak Saxena(E1202) - Finance</v>
      </c>
      <c r="F203" t="str">
        <f t="shared" si="61"/>
        <v>Finance</v>
      </c>
      <c r="G203">
        <f t="shared" si="62"/>
        <v>22</v>
      </c>
      <c r="H203" t="str">
        <f t="shared" si="63"/>
        <v xml:space="preserve">Deepak Saxena(E1202) </v>
      </c>
      <c r="I203" t="s">
        <v>66</v>
      </c>
      <c r="J203" t="str">
        <f t="shared" si="64"/>
        <v>Delhi</v>
      </c>
      <c r="K203" t="s">
        <v>811</v>
      </c>
      <c r="L203" t="str">
        <f t="shared" si="65"/>
        <v>Sunday</v>
      </c>
      <c r="M203" t="str">
        <f t="shared" si="66"/>
        <v>Sun</v>
      </c>
      <c r="N203" t="str">
        <f t="shared" si="67"/>
        <v>day</v>
      </c>
      <c r="O203">
        <f t="shared" si="68"/>
        <v>2</v>
      </c>
      <c r="P203">
        <f t="shared" si="69"/>
        <v>2024</v>
      </c>
      <c r="Q203" t="s">
        <v>818</v>
      </c>
      <c r="R203">
        <f t="shared" si="70"/>
        <v>10</v>
      </c>
      <c r="S203">
        <f t="shared" si="71"/>
        <v>37</v>
      </c>
      <c r="T203">
        <f t="shared" si="72"/>
        <v>11</v>
      </c>
      <c r="U203">
        <v>83773</v>
      </c>
      <c r="V203">
        <v>90317</v>
      </c>
      <c r="W203" t="str">
        <f t="shared" si="73"/>
        <v>High Target</v>
      </c>
      <c r="X203" t="str">
        <f t="shared" si="74"/>
        <v>High Target</v>
      </c>
      <c r="Y203" t="s">
        <v>169</v>
      </c>
      <c r="Z203" t="str">
        <f t="shared" si="75"/>
        <v>DETAILED ANALYSIS</v>
      </c>
      <c r="AA203" t="str">
        <f t="shared" si="76"/>
        <v>detailed analysis</v>
      </c>
      <c r="AB203" t="str">
        <f t="shared" si="77"/>
        <v>Detailed Analysis</v>
      </c>
    </row>
    <row r="204" spans="1:28">
      <c r="A204" t="s">
        <v>819</v>
      </c>
      <c r="B204" t="s">
        <v>820</v>
      </c>
      <c r="C204">
        <f t="shared" si="60"/>
        <v>12</v>
      </c>
      <c r="D204" t="s">
        <v>12</v>
      </c>
      <c r="E204" t="str">
        <f t="shared" si="59"/>
        <v>Aakash Patel(E1203) - Sales</v>
      </c>
      <c r="F204" t="str">
        <f t="shared" si="61"/>
        <v>Sales</v>
      </c>
      <c r="G204">
        <f t="shared" si="62"/>
        <v>21</v>
      </c>
      <c r="H204" t="str">
        <f t="shared" si="63"/>
        <v xml:space="preserve">Aakash Patel(E1203) </v>
      </c>
      <c r="I204" t="s">
        <v>66</v>
      </c>
      <c r="J204" t="str">
        <f t="shared" si="64"/>
        <v>Delhi</v>
      </c>
      <c r="K204" t="s">
        <v>821</v>
      </c>
      <c r="L204" t="str">
        <f t="shared" si="65"/>
        <v>Thursday</v>
      </c>
      <c r="M204" t="str">
        <f t="shared" si="66"/>
        <v>Thu</v>
      </c>
      <c r="N204" t="str">
        <f t="shared" si="67"/>
        <v>day</v>
      </c>
      <c r="O204">
        <f t="shared" si="68"/>
        <v>9</v>
      </c>
      <c r="P204">
        <f t="shared" si="69"/>
        <v>2022</v>
      </c>
      <c r="Q204" t="s">
        <v>822</v>
      </c>
      <c r="R204">
        <f t="shared" si="70"/>
        <v>8</v>
      </c>
      <c r="S204">
        <f t="shared" si="71"/>
        <v>10</v>
      </c>
      <c r="T204">
        <f t="shared" si="72"/>
        <v>20</v>
      </c>
      <c r="U204">
        <v>86262</v>
      </c>
      <c r="V204">
        <v>86486</v>
      </c>
      <c r="W204" t="str">
        <f t="shared" si="73"/>
        <v>High Target</v>
      </c>
      <c r="X204" t="str">
        <f t="shared" si="74"/>
        <v>High Target</v>
      </c>
      <c r="Y204" t="s">
        <v>122</v>
      </c>
      <c r="Z204" t="str">
        <f t="shared" si="75"/>
        <v>CREATIVE IDEAS</v>
      </c>
      <c r="AA204" t="str">
        <f t="shared" si="76"/>
        <v>creative ideas</v>
      </c>
      <c r="AB204" t="str">
        <f t="shared" si="77"/>
        <v>Creative Ideas</v>
      </c>
    </row>
    <row r="205" spans="1:28">
      <c r="A205" t="s">
        <v>823</v>
      </c>
      <c r="B205" t="s">
        <v>824</v>
      </c>
      <c r="C205">
        <f t="shared" si="60"/>
        <v>12</v>
      </c>
      <c r="D205" t="s">
        <v>12</v>
      </c>
      <c r="E205" t="str">
        <f t="shared" si="59"/>
        <v>Aakash Gupta(E1204) - Sales</v>
      </c>
      <c r="F205" t="str">
        <f t="shared" si="61"/>
        <v>Sales</v>
      </c>
      <c r="G205">
        <f t="shared" si="62"/>
        <v>21</v>
      </c>
      <c r="H205" t="str">
        <f t="shared" si="63"/>
        <v xml:space="preserve">Aakash Gupta(E1204) </v>
      </c>
      <c r="I205" t="s">
        <v>13</v>
      </c>
      <c r="J205" t="str">
        <f t="shared" si="64"/>
        <v>Chenn@i</v>
      </c>
      <c r="K205" t="s">
        <v>825</v>
      </c>
      <c r="L205" t="str">
        <f t="shared" si="65"/>
        <v>Monday</v>
      </c>
      <c r="M205" t="str">
        <f t="shared" si="66"/>
        <v>Mon</v>
      </c>
      <c r="N205" t="str">
        <f t="shared" si="67"/>
        <v>day</v>
      </c>
      <c r="O205">
        <f t="shared" si="68"/>
        <v>2</v>
      </c>
      <c r="P205">
        <f t="shared" si="69"/>
        <v>2022</v>
      </c>
      <c r="Q205" t="s">
        <v>826</v>
      </c>
      <c r="R205">
        <f t="shared" si="70"/>
        <v>10</v>
      </c>
      <c r="S205">
        <f t="shared" si="71"/>
        <v>35</v>
      </c>
      <c r="T205">
        <f t="shared" si="72"/>
        <v>17</v>
      </c>
      <c r="U205">
        <v>53048</v>
      </c>
      <c r="V205">
        <v>48203</v>
      </c>
      <c r="W205" t="str">
        <f t="shared" si="73"/>
        <v>Low Target</v>
      </c>
      <c r="X205" t="str">
        <f t="shared" si="74"/>
        <v>Low Target</v>
      </c>
      <c r="Y205" t="s">
        <v>16</v>
      </c>
      <c r="Z205" t="str">
        <f t="shared" si="75"/>
        <v>EXCELLENT LEADERSHIP</v>
      </c>
      <c r="AA205" t="str">
        <f t="shared" si="76"/>
        <v>excellent leadership</v>
      </c>
      <c r="AB205" t="str">
        <f t="shared" si="77"/>
        <v>Excellent Leadership</v>
      </c>
    </row>
    <row r="206" spans="1:28">
      <c r="A206" t="s">
        <v>827</v>
      </c>
      <c r="B206" t="s">
        <v>828</v>
      </c>
      <c r="C206">
        <f t="shared" si="60"/>
        <v>12</v>
      </c>
      <c r="D206" t="s">
        <v>54</v>
      </c>
      <c r="E206" t="str">
        <f t="shared" si="59"/>
        <v>Ritika Verma(E1205) - HR</v>
      </c>
      <c r="F206" t="str">
        <f t="shared" si="61"/>
        <v>HR</v>
      </c>
      <c r="G206">
        <f t="shared" si="62"/>
        <v>21</v>
      </c>
      <c r="H206" t="str">
        <f t="shared" si="63"/>
        <v xml:space="preserve">Ritika Verma(E1205) </v>
      </c>
      <c r="I206" t="s">
        <v>66</v>
      </c>
      <c r="J206" t="str">
        <f t="shared" si="64"/>
        <v>Delhi</v>
      </c>
      <c r="K206" t="s">
        <v>829</v>
      </c>
      <c r="L206" t="str">
        <f t="shared" si="65"/>
        <v>Friday</v>
      </c>
      <c r="M206" t="str">
        <f t="shared" si="66"/>
        <v>Fri</v>
      </c>
      <c r="N206" t="str">
        <f t="shared" si="67"/>
        <v>day</v>
      </c>
      <c r="O206">
        <f t="shared" si="68"/>
        <v>12</v>
      </c>
      <c r="P206">
        <f t="shared" si="69"/>
        <v>2021</v>
      </c>
      <c r="Q206" t="s">
        <v>830</v>
      </c>
      <c r="R206">
        <f t="shared" si="70"/>
        <v>10</v>
      </c>
      <c r="S206">
        <f t="shared" si="71"/>
        <v>39</v>
      </c>
      <c r="T206">
        <f t="shared" si="72"/>
        <v>46</v>
      </c>
      <c r="U206">
        <v>106239</v>
      </c>
      <c r="V206">
        <v>99113</v>
      </c>
      <c r="W206" t="str">
        <f t="shared" si="73"/>
        <v>High Target</v>
      </c>
      <c r="X206" t="str">
        <f t="shared" si="74"/>
        <v>High Target</v>
      </c>
      <c r="Y206" t="s">
        <v>214</v>
      </c>
      <c r="Z206" t="str">
        <f t="shared" si="75"/>
        <v>POSITIVE ATTITUDE</v>
      </c>
      <c r="AA206" t="str">
        <f t="shared" si="76"/>
        <v>positive attitude</v>
      </c>
      <c r="AB206" t="str">
        <f t="shared" si="77"/>
        <v>Positive Attitude</v>
      </c>
    </row>
    <row r="207" spans="1:28">
      <c r="A207" t="s">
        <v>831</v>
      </c>
      <c r="B207" t="s">
        <v>485</v>
      </c>
      <c r="C207">
        <f t="shared" si="60"/>
        <v>14</v>
      </c>
      <c r="D207" t="s">
        <v>12</v>
      </c>
      <c r="E207" t="str">
        <f t="shared" si="59"/>
        <v>Madhuri Mishra(E1206) - Sales</v>
      </c>
      <c r="F207" t="str">
        <f t="shared" si="61"/>
        <v>Sales</v>
      </c>
      <c r="G207">
        <f t="shared" si="62"/>
        <v>23</v>
      </c>
      <c r="H207" t="str">
        <f t="shared" si="63"/>
        <v xml:space="preserve">Madhuri Mishra(E1206) </v>
      </c>
      <c r="I207" t="s">
        <v>73</v>
      </c>
      <c r="J207" t="str">
        <f t="shared" si="64"/>
        <v>Mumb@i</v>
      </c>
      <c r="K207" t="s">
        <v>685</v>
      </c>
      <c r="L207" t="str">
        <f t="shared" si="65"/>
        <v>Wednesday</v>
      </c>
      <c r="M207" t="str">
        <f t="shared" si="66"/>
        <v>Wed</v>
      </c>
      <c r="N207" t="str">
        <f t="shared" si="67"/>
        <v>day</v>
      </c>
      <c r="O207">
        <f t="shared" si="68"/>
        <v>6</v>
      </c>
      <c r="P207">
        <f t="shared" si="69"/>
        <v>2021</v>
      </c>
      <c r="Q207" t="s">
        <v>832</v>
      </c>
      <c r="R207">
        <f t="shared" si="70"/>
        <v>8</v>
      </c>
      <c r="S207">
        <f t="shared" si="71"/>
        <v>41</v>
      </c>
      <c r="T207">
        <f t="shared" si="72"/>
        <v>49</v>
      </c>
      <c r="U207">
        <v>80143</v>
      </c>
      <c r="V207">
        <v>77799</v>
      </c>
      <c r="W207" t="str">
        <f t="shared" si="73"/>
        <v>High Target</v>
      </c>
      <c r="X207" t="str">
        <f t="shared" si="74"/>
        <v>Medium Target</v>
      </c>
      <c r="Y207" t="s">
        <v>69</v>
      </c>
      <c r="Z207" t="str">
        <f t="shared" si="75"/>
        <v>GOOD TEAMWORK</v>
      </c>
      <c r="AA207" t="str">
        <f t="shared" si="76"/>
        <v>good teamwork</v>
      </c>
      <c r="AB207" t="str">
        <f t="shared" si="77"/>
        <v>Good Teamwork</v>
      </c>
    </row>
    <row r="208" spans="1:28">
      <c r="A208" t="s">
        <v>833</v>
      </c>
      <c r="B208" t="s">
        <v>834</v>
      </c>
      <c r="C208">
        <f t="shared" si="60"/>
        <v>12</v>
      </c>
      <c r="D208" t="s">
        <v>27</v>
      </c>
      <c r="E208" t="str">
        <f t="shared" si="59"/>
        <v>Karan Mishra(E1207) - Marketing</v>
      </c>
      <c r="F208" t="str">
        <f t="shared" si="61"/>
        <v>Marketing</v>
      </c>
      <c r="G208">
        <f t="shared" si="62"/>
        <v>21</v>
      </c>
      <c r="H208" t="str">
        <f t="shared" si="63"/>
        <v xml:space="preserve">Karan Mishra(E1207) </v>
      </c>
      <c r="I208" t="s">
        <v>73</v>
      </c>
      <c r="J208" t="str">
        <f t="shared" si="64"/>
        <v>Mumb@i</v>
      </c>
      <c r="K208" t="s">
        <v>835</v>
      </c>
      <c r="L208" t="str">
        <f t="shared" si="65"/>
        <v>Tuesday</v>
      </c>
      <c r="M208" t="str">
        <f t="shared" si="66"/>
        <v>Tue</v>
      </c>
      <c r="N208" t="str">
        <f t="shared" si="67"/>
        <v>day</v>
      </c>
      <c r="O208">
        <f t="shared" si="68"/>
        <v>10</v>
      </c>
      <c r="P208">
        <f t="shared" si="69"/>
        <v>2023</v>
      </c>
      <c r="Q208" t="s">
        <v>836</v>
      </c>
      <c r="R208">
        <f t="shared" si="70"/>
        <v>10</v>
      </c>
      <c r="S208">
        <f t="shared" si="71"/>
        <v>34</v>
      </c>
      <c r="T208">
        <f t="shared" si="72"/>
        <v>18</v>
      </c>
      <c r="U208">
        <v>86866</v>
      </c>
      <c r="V208">
        <v>82068</v>
      </c>
      <c r="W208" t="str">
        <f t="shared" si="73"/>
        <v>High Target</v>
      </c>
      <c r="X208" t="str">
        <f t="shared" si="74"/>
        <v>High Target</v>
      </c>
      <c r="Y208" t="s">
        <v>57</v>
      </c>
      <c r="Z208" t="str">
        <f t="shared" si="75"/>
        <v>HELPFUL ATTITUDE</v>
      </c>
      <c r="AA208" t="str">
        <f t="shared" si="76"/>
        <v>helpful attitude</v>
      </c>
      <c r="AB208" t="str">
        <f t="shared" si="77"/>
        <v>Helpful Attitude</v>
      </c>
    </row>
    <row r="209" spans="1:28">
      <c r="A209" t="s">
        <v>837</v>
      </c>
      <c r="B209" t="s">
        <v>838</v>
      </c>
      <c r="C209">
        <f t="shared" si="60"/>
        <v>12</v>
      </c>
      <c r="D209" t="s">
        <v>42</v>
      </c>
      <c r="E209" t="str">
        <f t="shared" si="59"/>
        <v>Pooja Bansal(E1208) - Finance</v>
      </c>
      <c r="F209" t="str">
        <f t="shared" si="61"/>
        <v>Finance</v>
      </c>
      <c r="G209">
        <f t="shared" si="62"/>
        <v>21</v>
      </c>
      <c r="H209" t="str">
        <f t="shared" si="63"/>
        <v xml:space="preserve">Pooja Bansal(E1208) </v>
      </c>
      <c r="I209" t="s">
        <v>80</v>
      </c>
      <c r="J209" t="str">
        <f t="shared" si="64"/>
        <v>Ahmed@bad</v>
      </c>
      <c r="K209" t="s">
        <v>839</v>
      </c>
      <c r="L209" t="str">
        <f t="shared" si="65"/>
        <v>Sunday</v>
      </c>
      <c r="M209" t="str">
        <f t="shared" si="66"/>
        <v>Sun</v>
      </c>
      <c r="N209" t="str">
        <f t="shared" si="67"/>
        <v>day</v>
      </c>
      <c r="O209">
        <f t="shared" si="68"/>
        <v>5</v>
      </c>
      <c r="P209">
        <f t="shared" si="69"/>
        <v>2021</v>
      </c>
      <c r="Q209" t="s">
        <v>840</v>
      </c>
      <c r="R209">
        <f t="shared" si="70"/>
        <v>10</v>
      </c>
      <c r="S209">
        <f t="shared" si="71"/>
        <v>3</v>
      </c>
      <c r="T209">
        <f t="shared" si="72"/>
        <v>10</v>
      </c>
      <c r="U209">
        <v>81047</v>
      </c>
      <c r="V209">
        <v>68809</v>
      </c>
      <c r="W209" t="str">
        <f t="shared" si="73"/>
        <v>High Target</v>
      </c>
      <c r="X209" t="str">
        <f t="shared" si="74"/>
        <v>Medium Target</v>
      </c>
      <c r="Y209" t="s">
        <v>57</v>
      </c>
      <c r="Z209" t="str">
        <f t="shared" si="75"/>
        <v>HELPFUL ATTITUDE</v>
      </c>
      <c r="AA209" t="str">
        <f t="shared" si="76"/>
        <v>helpful attitude</v>
      </c>
      <c r="AB209" t="str">
        <f t="shared" si="77"/>
        <v>Helpful Attitude</v>
      </c>
    </row>
    <row r="210" spans="1:28">
      <c r="A210" t="s">
        <v>841</v>
      </c>
      <c r="B210" t="s">
        <v>842</v>
      </c>
      <c r="C210">
        <f t="shared" si="60"/>
        <v>12</v>
      </c>
      <c r="D210" t="s">
        <v>42</v>
      </c>
      <c r="E210" t="str">
        <f t="shared" si="59"/>
        <v>Deepak Mehta(E1209) - Finance</v>
      </c>
      <c r="F210" t="str">
        <f t="shared" si="61"/>
        <v>Finance</v>
      </c>
      <c r="G210">
        <f t="shared" si="62"/>
        <v>21</v>
      </c>
      <c r="H210" t="str">
        <f t="shared" si="63"/>
        <v xml:space="preserve">Deepak Mehta(E1209) </v>
      </c>
      <c r="I210" t="s">
        <v>66</v>
      </c>
      <c r="J210" t="str">
        <f t="shared" si="64"/>
        <v>Delhi</v>
      </c>
      <c r="K210" t="s">
        <v>584</v>
      </c>
      <c r="L210" t="str">
        <f t="shared" si="65"/>
        <v>Monday</v>
      </c>
      <c r="M210" t="str">
        <f t="shared" si="66"/>
        <v>Mon</v>
      </c>
      <c r="N210" t="str">
        <f t="shared" si="67"/>
        <v>day</v>
      </c>
      <c r="O210">
        <f t="shared" si="68"/>
        <v>10</v>
      </c>
      <c r="P210">
        <f t="shared" si="69"/>
        <v>2022</v>
      </c>
      <c r="Q210" t="s">
        <v>843</v>
      </c>
      <c r="R210">
        <f t="shared" si="70"/>
        <v>10</v>
      </c>
      <c r="S210">
        <f t="shared" si="71"/>
        <v>20</v>
      </c>
      <c r="T210">
        <f t="shared" si="72"/>
        <v>46</v>
      </c>
      <c r="U210">
        <v>104045</v>
      </c>
      <c r="V210">
        <v>96411</v>
      </c>
      <c r="W210" t="str">
        <f t="shared" si="73"/>
        <v>High Target</v>
      </c>
      <c r="X210" t="str">
        <f t="shared" si="74"/>
        <v>High Target</v>
      </c>
      <c r="Y210" t="s">
        <v>169</v>
      </c>
      <c r="Z210" t="str">
        <f t="shared" si="75"/>
        <v>DETAILED ANALYSIS</v>
      </c>
      <c r="AA210" t="str">
        <f t="shared" si="76"/>
        <v>detailed analysis</v>
      </c>
      <c r="AB210" t="str">
        <f t="shared" si="77"/>
        <v>Detailed Analysis</v>
      </c>
    </row>
    <row r="211" spans="1:28">
      <c r="A211" t="s">
        <v>844</v>
      </c>
      <c r="B211" t="s">
        <v>845</v>
      </c>
      <c r="C211">
        <f t="shared" si="60"/>
        <v>11</v>
      </c>
      <c r="D211" t="s">
        <v>12</v>
      </c>
      <c r="E211" t="str">
        <f t="shared" si="59"/>
        <v>Arjun Reddy(E1210) - Sales</v>
      </c>
      <c r="F211" t="str">
        <f t="shared" si="61"/>
        <v>Sales</v>
      </c>
      <c r="G211">
        <f t="shared" si="62"/>
        <v>20</v>
      </c>
      <c r="H211" t="str">
        <f t="shared" si="63"/>
        <v xml:space="preserve">Arjun Reddy(E1210) </v>
      </c>
      <c r="I211" t="s">
        <v>35</v>
      </c>
      <c r="J211" t="str">
        <f t="shared" si="64"/>
        <v>Hyder@bad</v>
      </c>
      <c r="K211" t="s">
        <v>846</v>
      </c>
      <c r="L211" t="str">
        <f t="shared" si="65"/>
        <v>Wednesday</v>
      </c>
      <c r="M211" t="str">
        <f t="shared" si="66"/>
        <v>Wed</v>
      </c>
      <c r="N211" t="str">
        <f t="shared" si="67"/>
        <v>day</v>
      </c>
      <c r="O211">
        <f t="shared" si="68"/>
        <v>5</v>
      </c>
      <c r="P211">
        <f t="shared" si="69"/>
        <v>2022</v>
      </c>
      <c r="Q211" t="s">
        <v>847</v>
      </c>
      <c r="R211">
        <f t="shared" si="70"/>
        <v>9</v>
      </c>
      <c r="S211">
        <f t="shared" si="71"/>
        <v>7</v>
      </c>
      <c r="T211">
        <f t="shared" si="72"/>
        <v>17</v>
      </c>
      <c r="U211">
        <v>70711</v>
      </c>
      <c r="V211">
        <v>69464</v>
      </c>
      <c r="W211" t="str">
        <f t="shared" si="73"/>
        <v>High Target</v>
      </c>
      <c r="X211" t="str">
        <f t="shared" si="74"/>
        <v>Medium Target</v>
      </c>
      <c r="Y211" t="s">
        <v>113</v>
      </c>
      <c r="Z211" t="str">
        <f t="shared" si="75"/>
        <v>QUICK RESPONSE</v>
      </c>
      <c r="AA211" t="str">
        <f t="shared" si="76"/>
        <v>quick response</v>
      </c>
      <c r="AB211" t="str">
        <f t="shared" si="77"/>
        <v>Quick Response</v>
      </c>
    </row>
    <row r="212" spans="1:28">
      <c r="A212" t="s">
        <v>848</v>
      </c>
      <c r="B212" t="s">
        <v>849</v>
      </c>
      <c r="C212">
        <f t="shared" si="60"/>
        <v>10</v>
      </c>
      <c r="D212" t="s">
        <v>42</v>
      </c>
      <c r="E212" t="str">
        <f t="shared" si="59"/>
        <v>Neha Patel(E1211) - Finance</v>
      </c>
      <c r="F212" t="str">
        <f t="shared" si="61"/>
        <v>Finance</v>
      </c>
      <c r="G212">
        <f t="shared" si="62"/>
        <v>19</v>
      </c>
      <c r="H212" t="str">
        <f t="shared" si="63"/>
        <v xml:space="preserve">Neha Patel(E1211) </v>
      </c>
      <c r="I212" t="s">
        <v>90</v>
      </c>
      <c r="J212" t="str">
        <f t="shared" si="64"/>
        <v>Kolk@ta</v>
      </c>
      <c r="K212" t="s">
        <v>850</v>
      </c>
      <c r="L212" t="str">
        <f t="shared" si="65"/>
        <v>Friday</v>
      </c>
      <c r="M212" t="str">
        <f t="shared" si="66"/>
        <v>Fri</v>
      </c>
      <c r="N212" t="str">
        <f t="shared" si="67"/>
        <v>day</v>
      </c>
      <c r="O212">
        <f t="shared" si="68"/>
        <v>6</v>
      </c>
      <c r="P212">
        <f t="shared" si="69"/>
        <v>2024</v>
      </c>
      <c r="Q212" t="s">
        <v>851</v>
      </c>
      <c r="R212">
        <f t="shared" si="70"/>
        <v>9</v>
      </c>
      <c r="S212">
        <f t="shared" si="71"/>
        <v>15</v>
      </c>
      <c r="T212">
        <f t="shared" si="72"/>
        <v>55</v>
      </c>
      <c r="U212">
        <v>94599</v>
      </c>
      <c r="V212">
        <v>99133</v>
      </c>
      <c r="W212" t="str">
        <f t="shared" si="73"/>
        <v>High Target</v>
      </c>
      <c r="X212" t="str">
        <f t="shared" si="74"/>
        <v>High Target</v>
      </c>
      <c r="Y212" t="s">
        <v>214</v>
      </c>
      <c r="Z212" t="str">
        <f t="shared" si="75"/>
        <v>POSITIVE ATTITUDE</v>
      </c>
      <c r="AA212" t="str">
        <f t="shared" si="76"/>
        <v>positive attitude</v>
      </c>
      <c r="AB212" t="str">
        <f t="shared" si="77"/>
        <v>Positive Attitude</v>
      </c>
    </row>
    <row r="213" spans="1:28">
      <c r="A213" t="s">
        <v>852</v>
      </c>
      <c r="B213" t="s">
        <v>853</v>
      </c>
      <c r="C213">
        <f t="shared" si="60"/>
        <v>12</v>
      </c>
      <c r="D213" t="s">
        <v>42</v>
      </c>
      <c r="E213" t="str">
        <f t="shared" si="59"/>
        <v>Rohan Mishra(E1212) - Finance</v>
      </c>
      <c r="F213" t="str">
        <f t="shared" si="61"/>
        <v>Finance</v>
      </c>
      <c r="G213">
        <f t="shared" si="62"/>
        <v>21</v>
      </c>
      <c r="H213" t="str">
        <f t="shared" si="63"/>
        <v xml:space="preserve">Rohan Mishra(E1212) </v>
      </c>
      <c r="I213" t="s">
        <v>28</v>
      </c>
      <c r="J213" t="str">
        <f t="shared" si="64"/>
        <v>B@ngalore</v>
      </c>
      <c r="K213" t="s">
        <v>854</v>
      </c>
      <c r="L213" t="str">
        <f t="shared" si="65"/>
        <v>Tuesday</v>
      </c>
      <c r="M213" t="str">
        <f t="shared" si="66"/>
        <v>Tue</v>
      </c>
      <c r="N213" t="str">
        <f t="shared" si="67"/>
        <v>day</v>
      </c>
      <c r="O213">
        <f t="shared" si="68"/>
        <v>11</v>
      </c>
      <c r="P213">
        <f t="shared" si="69"/>
        <v>2021</v>
      </c>
      <c r="Q213" t="s">
        <v>855</v>
      </c>
      <c r="R213">
        <f t="shared" si="70"/>
        <v>9</v>
      </c>
      <c r="S213">
        <f t="shared" si="71"/>
        <v>32</v>
      </c>
      <c r="T213">
        <f t="shared" si="72"/>
        <v>29</v>
      </c>
      <c r="U213">
        <v>77906</v>
      </c>
      <c r="V213">
        <v>72686</v>
      </c>
      <c r="W213" t="str">
        <f t="shared" si="73"/>
        <v>High Target</v>
      </c>
      <c r="X213" t="str">
        <f t="shared" si="74"/>
        <v>Medium Target</v>
      </c>
      <c r="Y213" t="s">
        <v>57</v>
      </c>
      <c r="Z213" t="str">
        <f t="shared" si="75"/>
        <v>HELPFUL ATTITUDE</v>
      </c>
      <c r="AA213" t="str">
        <f t="shared" si="76"/>
        <v>helpful attitude</v>
      </c>
      <c r="AB213" t="str">
        <f t="shared" si="77"/>
        <v>Helpful Attitude</v>
      </c>
    </row>
    <row r="214" spans="1:28">
      <c r="A214" t="s">
        <v>856</v>
      </c>
      <c r="B214" t="s">
        <v>857</v>
      </c>
      <c r="C214">
        <f t="shared" si="60"/>
        <v>10</v>
      </c>
      <c r="D214" t="s">
        <v>27</v>
      </c>
      <c r="E214" t="str">
        <f t="shared" si="59"/>
        <v>Amit Verma(E1213) - Marketing</v>
      </c>
      <c r="F214" t="str">
        <f t="shared" si="61"/>
        <v>Marketing</v>
      </c>
      <c r="G214">
        <f t="shared" si="62"/>
        <v>19</v>
      </c>
      <c r="H214" t="str">
        <f t="shared" si="63"/>
        <v xml:space="preserve">Amit Verma(E1213) </v>
      </c>
      <c r="I214" t="s">
        <v>80</v>
      </c>
      <c r="J214" t="str">
        <f t="shared" si="64"/>
        <v>Ahmed@bad</v>
      </c>
      <c r="K214" t="s">
        <v>858</v>
      </c>
      <c r="L214" t="str">
        <f t="shared" si="65"/>
        <v>Monday</v>
      </c>
      <c r="M214" t="str">
        <f t="shared" si="66"/>
        <v>Mon</v>
      </c>
      <c r="N214" t="str">
        <f t="shared" si="67"/>
        <v>day</v>
      </c>
      <c r="O214">
        <f t="shared" si="68"/>
        <v>5</v>
      </c>
      <c r="P214">
        <f t="shared" si="69"/>
        <v>2022</v>
      </c>
      <c r="Q214" t="s">
        <v>859</v>
      </c>
      <c r="R214">
        <f t="shared" si="70"/>
        <v>8</v>
      </c>
      <c r="S214">
        <f t="shared" si="71"/>
        <v>37</v>
      </c>
      <c r="T214">
        <f t="shared" si="72"/>
        <v>22</v>
      </c>
      <c r="U214">
        <v>31500</v>
      </c>
      <c r="V214">
        <v>43188</v>
      </c>
      <c r="W214" t="str">
        <f t="shared" si="73"/>
        <v>Low Target</v>
      </c>
      <c r="X214" t="str">
        <f t="shared" si="74"/>
        <v>Low Target</v>
      </c>
      <c r="Y214" t="s">
        <v>143</v>
      </c>
      <c r="Z214" t="str">
        <f t="shared" si="75"/>
        <v>NEEDS IMPROVEMENT</v>
      </c>
      <c r="AA214" t="str">
        <f t="shared" si="76"/>
        <v>needs improvement</v>
      </c>
      <c r="AB214" t="str">
        <f t="shared" si="77"/>
        <v>Needs Improvement</v>
      </c>
    </row>
    <row r="215" spans="1:28">
      <c r="A215" t="s">
        <v>860</v>
      </c>
      <c r="B215" t="s">
        <v>861</v>
      </c>
      <c r="C215">
        <f t="shared" si="60"/>
        <v>11</v>
      </c>
      <c r="D215" t="s">
        <v>27</v>
      </c>
      <c r="E215" t="str">
        <f t="shared" si="59"/>
        <v>Kavita Jain(E1214) - Marketing</v>
      </c>
      <c r="F215" t="str">
        <f t="shared" si="61"/>
        <v>Marketing</v>
      </c>
      <c r="G215">
        <f t="shared" si="62"/>
        <v>20</v>
      </c>
      <c r="H215" t="str">
        <f t="shared" si="63"/>
        <v xml:space="preserve">Kavita Jain(E1214) </v>
      </c>
      <c r="I215" t="s">
        <v>13</v>
      </c>
      <c r="J215" t="str">
        <f t="shared" si="64"/>
        <v>Chenn@i</v>
      </c>
      <c r="K215" t="s">
        <v>862</v>
      </c>
      <c r="L215" t="str">
        <f t="shared" si="65"/>
        <v>Friday</v>
      </c>
      <c r="M215" t="str">
        <f t="shared" si="66"/>
        <v>Fri</v>
      </c>
      <c r="N215" t="str">
        <f t="shared" si="67"/>
        <v>day</v>
      </c>
      <c r="O215">
        <f t="shared" si="68"/>
        <v>1</v>
      </c>
      <c r="P215">
        <f t="shared" si="69"/>
        <v>2024</v>
      </c>
      <c r="Q215" t="s">
        <v>863</v>
      </c>
      <c r="R215">
        <f t="shared" si="70"/>
        <v>8</v>
      </c>
      <c r="S215">
        <f t="shared" si="71"/>
        <v>54</v>
      </c>
      <c r="T215">
        <f t="shared" si="72"/>
        <v>6</v>
      </c>
      <c r="U215">
        <v>62018</v>
      </c>
      <c r="V215">
        <v>68241</v>
      </c>
      <c r="W215" t="str">
        <f t="shared" si="73"/>
        <v>High Target</v>
      </c>
      <c r="X215" t="str">
        <f t="shared" si="74"/>
        <v>Medium Target</v>
      </c>
      <c r="Y215" t="s">
        <v>488</v>
      </c>
      <c r="Z215" t="str">
        <f t="shared" si="75"/>
        <v>GREAT SUPPORT</v>
      </c>
      <c r="AA215" t="str">
        <f t="shared" si="76"/>
        <v>great support</v>
      </c>
      <c r="AB215" t="str">
        <f t="shared" si="77"/>
        <v>Great Support</v>
      </c>
    </row>
    <row r="216" spans="1:28">
      <c r="A216" t="s">
        <v>864</v>
      </c>
      <c r="B216" t="s">
        <v>865</v>
      </c>
      <c r="C216">
        <f t="shared" si="60"/>
        <v>12</v>
      </c>
      <c r="D216" t="s">
        <v>27</v>
      </c>
      <c r="E216" t="str">
        <f t="shared" si="59"/>
        <v>Vikram Reddy(E1215) - Marketing</v>
      </c>
      <c r="F216" t="str">
        <f t="shared" si="61"/>
        <v>Marketing</v>
      </c>
      <c r="G216">
        <f t="shared" si="62"/>
        <v>21</v>
      </c>
      <c r="H216" t="str">
        <f t="shared" si="63"/>
        <v xml:space="preserve">Vikram Reddy(E1215) </v>
      </c>
      <c r="I216" t="s">
        <v>35</v>
      </c>
      <c r="J216" t="str">
        <f t="shared" si="64"/>
        <v>Hyder@bad</v>
      </c>
      <c r="K216" t="s">
        <v>866</v>
      </c>
      <c r="L216" t="str">
        <f t="shared" si="65"/>
        <v>Saturday</v>
      </c>
      <c r="M216" t="str">
        <f t="shared" si="66"/>
        <v>Sat</v>
      </c>
      <c r="N216" t="str">
        <f t="shared" si="67"/>
        <v>day</v>
      </c>
      <c r="O216">
        <f t="shared" si="68"/>
        <v>4</v>
      </c>
      <c r="P216">
        <f t="shared" si="69"/>
        <v>2021</v>
      </c>
      <c r="Q216" t="s">
        <v>867</v>
      </c>
      <c r="R216">
        <f t="shared" si="70"/>
        <v>9</v>
      </c>
      <c r="S216">
        <f t="shared" si="71"/>
        <v>3</v>
      </c>
      <c r="T216">
        <f t="shared" si="72"/>
        <v>36</v>
      </c>
      <c r="U216">
        <v>74575</v>
      </c>
      <c r="V216">
        <v>76819</v>
      </c>
      <c r="W216" t="str">
        <f t="shared" si="73"/>
        <v>High Target</v>
      </c>
      <c r="X216" t="str">
        <f t="shared" si="74"/>
        <v>Medium Target</v>
      </c>
      <c r="Y216" t="s">
        <v>122</v>
      </c>
      <c r="Z216" t="str">
        <f t="shared" si="75"/>
        <v>CREATIVE IDEAS</v>
      </c>
      <c r="AA216" t="str">
        <f t="shared" si="76"/>
        <v>creative ideas</v>
      </c>
      <c r="AB216" t="str">
        <f t="shared" si="77"/>
        <v>Creative Ideas</v>
      </c>
    </row>
    <row r="217" spans="1:28">
      <c r="A217" t="s">
        <v>868</v>
      </c>
      <c r="B217" t="s">
        <v>869</v>
      </c>
      <c r="C217">
        <f t="shared" si="60"/>
        <v>12</v>
      </c>
      <c r="D217" t="s">
        <v>12</v>
      </c>
      <c r="E217" t="str">
        <f t="shared" si="59"/>
        <v>Ritika Gupta(E1216) - Sales</v>
      </c>
      <c r="F217" t="str">
        <f t="shared" si="61"/>
        <v>Sales</v>
      </c>
      <c r="G217">
        <f t="shared" si="62"/>
        <v>21</v>
      </c>
      <c r="H217" t="str">
        <f t="shared" si="63"/>
        <v xml:space="preserve">Ritika Gupta(E1216) </v>
      </c>
      <c r="I217" t="s">
        <v>90</v>
      </c>
      <c r="J217" t="str">
        <f t="shared" si="64"/>
        <v>Kolk@ta</v>
      </c>
      <c r="K217" t="s">
        <v>870</v>
      </c>
      <c r="L217" t="str">
        <f t="shared" si="65"/>
        <v>Monday</v>
      </c>
      <c r="M217" t="str">
        <f t="shared" si="66"/>
        <v>Mon</v>
      </c>
      <c r="N217" t="str">
        <f t="shared" si="67"/>
        <v>day</v>
      </c>
      <c r="O217">
        <f t="shared" si="68"/>
        <v>10</v>
      </c>
      <c r="P217">
        <f t="shared" si="69"/>
        <v>2023</v>
      </c>
      <c r="Q217" t="s">
        <v>871</v>
      </c>
      <c r="R217">
        <f t="shared" si="70"/>
        <v>9</v>
      </c>
      <c r="S217">
        <f t="shared" si="71"/>
        <v>48</v>
      </c>
      <c r="T217">
        <f t="shared" si="72"/>
        <v>35</v>
      </c>
      <c r="U217">
        <v>51117</v>
      </c>
      <c r="V217">
        <v>58331</v>
      </c>
      <c r="W217" t="str">
        <f t="shared" si="73"/>
        <v>High Target</v>
      </c>
      <c r="X217" t="str">
        <f t="shared" si="74"/>
        <v>Low Target</v>
      </c>
      <c r="Y217" t="s">
        <v>113</v>
      </c>
      <c r="Z217" t="str">
        <f t="shared" si="75"/>
        <v>QUICK RESPONSE</v>
      </c>
      <c r="AA217" t="str">
        <f t="shared" si="76"/>
        <v>quick response</v>
      </c>
      <c r="AB217" t="str">
        <f t="shared" si="77"/>
        <v>Quick Response</v>
      </c>
    </row>
    <row r="218" spans="1:28">
      <c r="A218" t="s">
        <v>872</v>
      </c>
      <c r="B218" t="s">
        <v>48</v>
      </c>
      <c r="C218">
        <f t="shared" si="60"/>
        <v>11</v>
      </c>
      <c r="D218" t="s">
        <v>42</v>
      </c>
      <c r="E218" t="str">
        <f t="shared" si="59"/>
        <v>Neha Bansal(E1217) - Finance</v>
      </c>
      <c r="F218" t="str">
        <f t="shared" si="61"/>
        <v>Finance</v>
      </c>
      <c r="G218">
        <f t="shared" si="62"/>
        <v>20</v>
      </c>
      <c r="H218" t="str">
        <f t="shared" si="63"/>
        <v xml:space="preserve">Neha Bansal(E1217) </v>
      </c>
      <c r="I218" t="s">
        <v>35</v>
      </c>
      <c r="J218" t="str">
        <f t="shared" si="64"/>
        <v>Hyder@bad</v>
      </c>
      <c r="K218" t="s">
        <v>873</v>
      </c>
      <c r="L218" t="str">
        <f t="shared" si="65"/>
        <v>Saturday</v>
      </c>
      <c r="M218" t="str">
        <f t="shared" si="66"/>
        <v>Sat</v>
      </c>
      <c r="N218" t="str">
        <f t="shared" si="67"/>
        <v>day</v>
      </c>
      <c r="O218">
        <f t="shared" si="68"/>
        <v>2</v>
      </c>
      <c r="P218">
        <f t="shared" si="69"/>
        <v>2024</v>
      </c>
      <c r="Q218" t="s">
        <v>874</v>
      </c>
      <c r="R218">
        <f t="shared" si="70"/>
        <v>9</v>
      </c>
      <c r="S218">
        <f t="shared" si="71"/>
        <v>48</v>
      </c>
      <c r="T218">
        <f t="shared" si="72"/>
        <v>9</v>
      </c>
      <c r="U218">
        <v>71410</v>
      </c>
      <c r="V218">
        <v>53045</v>
      </c>
      <c r="W218" t="str">
        <f t="shared" si="73"/>
        <v>High Target</v>
      </c>
      <c r="X218" t="str">
        <f t="shared" si="74"/>
        <v>Low Target</v>
      </c>
      <c r="Y218" t="s">
        <v>169</v>
      </c>
      <c r="Z218" t="str">
        <f t="shared" si="75"/>
        <v>DETAILED ANALYSIS</v>
      </c>
      <c r="AA218" t="str">
        <f t="shared" si="76"/>
        <v>detailed analysis</v>
      </c>
      <c r="AB218" t="str">
        <f t="shared" si="77"/>
        <v>Detailed Analysis</v>
      </c>
    </row>
    <row r="219" spans="1:28">
      <c r="A219" t="s">
        <v>875</v>
      </c>
      <c r="B219" t="s">
        <v>820</v>
      </c>
      <c r="C219">
        <f t="shared" si="60"/>
        <v>12</v>
      </c>
      <c r="D219" t="s">
        <v>12</v>
      </c>
      <c r="E219" t="str">
        <f t="shared" si="59"/>
        <v>Aakash Patel(E1218) - Sales</v>
      </c>
      <c r="F219" t="str">
        <f t="shared" si="61"/>
        <v>Sales</v>
      </c>
      <c r="G219">
        <f t="shared" si="62"/>
        <v>21</v>
      </c>
      <c r="H219" t="str">
        <f t="shared" si="63"/>
        <v xml:space="preserve">Aakash Patel(E1218) </v>
      </c>
      <c r="I219" t="s">
        <v>73</v>
      </c>
      <c r="J219" t="str">
        <f t="shared" si="64"/>
        <v>Mumb@i</v>
      </c>
      <c r="K219" t="s">
        <v>876</v>
      </c>
      <c r="L219" t="str">
        <f t="shared" si="65"/>
        <v>Friday</v>
      </c>
      <c r="M219" t="str">
        <f t="shared" si="66"/>
        <v>Fri</v>
      </c>
      <c r="N219" t="str">
        <f t="shared" si="67"/>
        <v>day</v>
      </c>
      <c r="O219">
        <f t="shared" si="68"/>
        <v>10</v>
      </c>
      <c r="P219">
        <f t="shared" si="69"/>
        <v>2021</v>
      </c>
      <c r="Q219" t="s">
        <v>877</v>
      </c>
      <c r="R219">
        <f t="shared" si="70"/>
        <v>10</v>
      </c>
      <c r="S219">
        <f t="shared" si="71"/>
        <v>21</v>
      </c>
      <c r="T219">
        <f t="shared" si="72"/>
        <v>51</v>
      </c>
      <c r="U219">
        <v>90081</v>
      </c>
      <c r="V219">
        <v>71047</v>
      </c>
      <c r="W219" t="str">
        <f t="shared" si="73"/>
        <v>High Target</v>
      </c>
      <c r="X219" t="str">
        <f t="shared" si="74"/>
        <v>Medium Target</v>
      </c>
      <c r="Y219" t="s">
        <v>57</v>
      </c>
      <c r="Z219" t="str">
        <f t="shared" si="75"/>
        <v>HELPFUL ATTITUDE</v>
      </c>
      <c r="AA219" t="str">
        <f t="shared" si="76"/>
        <v>helpful attitude</v>
      </c>
      <c r="AB219" t="str">
        <f t="shared" si="77"/>
        <v>Helpful Attitude</v>
      </c>
    </row>
    <row r="220" spans="1:28">
      <c r="A220" t="s">
        <v>878</v>
      </c>
      <c r="B220" t="s">
        <v>787</v>
      </c>
      <c r="C220">
        <f t="shared" si="60"/>
        <v>10</v>
      </c>
      <c r="D220" t="s">
        <v>54</v>
      </c>
      <c r="E220" t="str">
        <f t="shared" si="59"/>
        <v>Arjun Jain(E1219) - HR</v>
      </c>
      <c r="F220" t="str">
        <f t="shared" si="61"/>
        <v>HR</v>
      </c>
      <c r="G220">
        <f t="shared" si="62"/>
        <v>19</v>
      </c>
      <c r="H220" t="str">
        <f t="shared" si="63"/>
        <v xml:space="preserve">Arjun Jain(E1219) </v>
      </c>
      <c r="I220" t="s">
        <v>35</v>
      </c>
      <c r="J220" t="str">
        <f t="shared" si="64"/>
        <v>Hyder@bad</v>
      </c>
      <c r="K220" t="s">
        <v>879</v>
      </c>
      <c r="L220" t="str">
        <f t="shared" si="65"/>
        <v>Sunday</v>
      </c>
      <c r="M220" t="str">
        <f t="shared" si="66"/>
        <v>Sun</v>
      </c>
      <c r="N220" t="str">
        <f t="shared" si="67"/>
        <v>day</v>
      </c>
      <c r="O220">
        <f t="shared" si="68"/>
        <v>6</v>
      </c>
      <c r="P220">
        <f t="shared" si="69"/>
        <v>2024</v>
      </c>
      <c r="Q220" t="s">
        <v>880</v>
      </c>
      <c r="R220">
        <f t="shared" si="70"/>
        <v>9</v>
      </c>
      <c r="S220">
        <f t="shared" si="71"/>
        <v>10</v>
      </c>
      <c r="T220">
        <f t="shared" si="72"/>
        <v>25</v>
      </c>
      <c r="U220">
        <v>85012</v>
      </c>
      <c r="V220">
        <v>80402</v>
      </c>
      <c r="W220" t="str">
        <f t="shared" si="73"/>
        <v>High Target</v>
      </c>
      <c r="X220" t="str">
        <f t="shared" si="74"/>
        <v>High Target</v>
      </c>
      <c r="Y220" t="s">
        <v>16</v>
      </c>
      <c r="Z220" t="str">
        <f t="shared" si="75"/>
        <v>EXCELLENT LEADERSHIP</v>
      </c>
      <c r="AA220" t="str">
        <f t="shared" si="76"/>
        <v>excellent leadership</v>
      </c>
      <c r="AB220" t="str">
        <f t="shared" si="77"/>
        <v>Excellent Leadership</v>
      </c>
    </row>
    <row r="221" spans="1:28">
      <c r="A221" t="s">
        <v>881</v>
      </c>
      <c r="B221" t="s">
        <v>882</v>
      </c>
      <c r="C221">
        <f t="shared" si="60"/>
        <v>12</v>
      </c>
      <c r="D221" t="s">
        <v>27</v>
      </c>
      <c r="E221" t="str">
        <f t="shared" si="59"/>
        <v>Rohan Saxena(E1220) - Marketing</v>
      </c>
      <c r="F221" t="str">
        <f t="shared" si="61"/>
        <v>Marketing</v>
      </c>
      <c r="G221">
        <f t="shared" si="62"/>
        <v>21</v>
      </c>
      <c r="H221" t="str">
        <f t="shared" si="63"/>
        <v xml:space="preserve">Rohan Saxena(E1220) </v>
      </c>
      <c r="I221" t="s">
        <v>13</v>
      </c>
      <c r="J221" t="str">
        <f t="shared" si="64"/>
        <v>Chenn@i</v>
      </c>
      <c r="K221" t="s">
        <v>883</v>
      </c>
      <c r="L221" t="str">
        <f t="shared" si="65"/>
        <v>Thursday</v>
      </c>
      <c r="M221" t="str">
        <f t="shared" si="66"/>
        <v>Thu</v>
      </c>
      <c r="N221" t="str">
        <f t="shared" si="67"/>
        <v>day</v>
      </c>
      <c r="O221">
        <f t="shared" si="68"/>
        <v>8</v>
      </c>
      <c r="P221">
        <f t="shared" si="69"/>
        <v>2023</v>
      </c>
      <c r="Q221" t="s">
        <v>884</v>
      </c>
      <c r="R221">
        <f t="shared" si="70"/>
        <v>8</v>
      </c>
      <c r="S221">
        <f t="shared" si="71"/>
        <v>23</v>
      </c>
      <c r="T221">
        <f t="shared" si="72"/>
        <v>21</v>
      </c>
      <c r="U221">
        <v>76341</v>
      </c>
      <c r="V221">
        <v>84158</v>
      </c>
      <c r="W221" t="str">
        <f t="shared" si="73"/>
        <v>High Target</v>
      </c>
      <c r="X221" t="str">
        <f t="shared" si="74"/>
        <v>High Target</v>
      </c>
      <c r="Y221" t="s">
        <v>169</v>
      </c>
      <c r="Z221" t="str">
        <f t="shared" si="75"/>
        <v>DETAILED ANALYSIS</v>
      </c>
      <c r="AA221" t="str">
        <f t="shared" si="76"/>
        <v>detailed analysis</v>
      </c>
      <c r="AB221" t="str">
        <f t="shared" si="77"/>
        <v>Detailed Analysis</v>
      </c>
    </row>
    <row r="222" spans="1:28">
      <c r="A222" t="s">
        <v>885</v>
      </c>
      <c r="B222" t="s">
        <v>886</v>
      </c>
      <c r="C222">
        <f t="shared" si="60"/>
        <v>12</v>
      </c>
      <c r="D222" t="s">
        <v>12</v>
      </c>
      <c r="E222" t="str">
        <f t="shared" si="59"/>
        <v>Manish Gupta(E1221) - Sales</v>
      </c>
      <c r="F222" t="str">
        <f t="shared" si="61"/>
        <v>Sales</v>
      </c>
      <c r="G222">
        <f t="shared" si="62"/>
        <v>21</v>
      </c>
      <c r="H222" t="str">
        <f t="shared" si="63"/>
        <v xml:space="preserve">Manish Gupta(E1221) </v>
      </c>
      <c r="I222" t="s">
        <v>80</v>
      </c>
      <c r="J222" t="str">
        <f t="shared" si="64"/>
        <v>Ahmed@bad</v>
      </c>
      <c r="K222" t="s">
        <v>887</v>
      </c>
      <c r="L222" t="str">
        <f t="shared" si="65"/>
        <v>Tuesday</v>
      </c>
      <c r="M222" t="str">
        <f t="shared" si="66"/>
        <v>Tue</v>
      </c>
      <c r="N222" t="str">
        <f t="shared" si="67"/>
        <v>day</v>
      </c>
      <c r="O222">
        <f t="shared" si="68"/>
        <v>6</v>
      </c>
      <c r="P222">
        <f t="shared" si="69"/>
        <v>2022</v>
      </c>
      <c r="Q222" t="s">
        <v>888</v>
      </c>
      <c r="R222">
        <f t="shared" si="70"/>
        <v>10</v>
      </c>
      <c r="S222">
        <f t="shared" si="71"/>
        <v>50</v>
      </c>
      <c r="T222">
        <f t="shared" si="72"/>
        <v>49</v>
      </c>
      <c r="U222">
        <v>77822</v>
      </c>
      <c r="V222">
        <v>77910</v>
      </c>
      <c r="W222" t="str">
        <f t="shared" si="73"/>
        <v>High Target</v>
      </c>
      <c r="X222" t="str">
        <f t="shared" si="74"/>
        <v>Medium Target</v>
      </c>
      <c r="Y222" t="s">
        <v>23</v>
      </c>
      <c r="Z222" t="str">
        <f t="shared" si="75"/>
        <v>FAST DELIVERY</v>
      </c>
      <c r="AA222" t="str">
        <f t="shared" si="76"/>
        <v>fast delivery</v>
      </c>
      <c r="AB222" t="str">
        <f t="shared" si="77"/>
        <v>Fast Delivery</v>
      </c>
    </row>
    <row r="223" spans="1:28">
      <c r="A223" t="s">
        <v>889</v>
      </c>
      <c r="B223" t="s">
        <v>162</v>
      </c>
      <c r="C223">
        <f t="shared" si="60"/>
        <v>12</v>
      </c>
      <c r="D223" t="s">
        <v>27</v>
      </c>
      <c r="E223" t="str">
        <f t="shared" si="59"/>
        <v>Priya Mishra(E1222) - Marketing</v>
      </c>
      <c r="F223" t="str">
        <f t="shared" si="61"/>
        <v>Marketing</v>
      </c>
      <c r="G223">
        <f t="shared" si="62"/>
        <v>21</v>
      </c>
      <c r="H223" t="str">
        <f t="shared" si="63"/>
        <v xml:space="preserve">Priya Mishra(E1222) </v>
      </c>
      <c r="I223" t="s">
        <v>66</v>
      </c>
      <c r="J223" t="str">
        <f t="shared" si="64"/>
        <v>Delhi</v>
      </c>
      <c r="K223" t="s">
        <v>890</v>
      </c>
      <c r="L223" t="str">
        <f t="shared" si="65"/>
        <v>Sunday</v>
      </c>
      <c r="M223" t="str">
        <f t="shared" si="66"/>
        <v>Sun</v>
      </c>
      <c r="N223" t="str">
        <f t="shared" si="67"/>
        <v>day</v>
      </c>
      <c r="O223">
        <f t="shared" si="68"/>
        <v>12</v>
      </c>
      <c r="P223">
        <f t="shared" si="69"/>
        <v>2023</v>
      </c>
      <c r="Q223" t="s">
        <v>891</v>
      </c>
      <c r="R223">
        <f t="shared" si="70"/>
        <v>10</v>
      </c>
      <c r="S223">
        <f t="shared" si="71"/>
        <v>46</v>
      </c>
      <c r="T223">
        <f t="shared" si="72"/>
        <v>39</v>
      </c>
      <c r="U223">
        <v>100680</v>
      </c>
      <c r="V223">
        <v>90764</v>
      </c>
      <c r="W223" t="str">
        <f t="shared" si="73"/>
        <v>High Target</v>
      </c>
      <c r="X223" t="str">
        <f t="shared" si="74"/>
        <v>High Target</v>
      </c>
      <c r="Y223" t="s">
        <v>113</v>
      </c>
      <c r="Z223" t="str">
        <f t="shared" si="75"/>
        <v>QUICK RESPONSE</v>
      </c>
      <c r="AA223" t="str">
        <f t="shared" si="76"/>
        <v>quick response</v>
      </c>
      <c r="AB223" t="str">
        <f t="shared" si="77"/>
        <v>Quick Response</v>
      </c>
    </row>
    <row r="224" spans="1:28">
      <c r="A224" t="s">
        <v>892</v>
      </c>
      <c r="B224" t="s">
        <v>252</v>
      </c>
      <c r="C224">
        <f t="shared" si="60"/>
        <v>10</v>
      </c>
      <c r="D224" t="s">
        <v>12</v>
      </c>
      <c r="E224" t="str">
        <f t="shared" si="59"/>
        <v>Varun Nair(E1223) - Sales</v>
      </c>
      <c r="F224" t="str">
        <f t="shared" si="61"/>
        <v>Sales</v>
      </c>
      <c r="G224">
        <f t="shared" si="62"/>
        <v>19</v>
      </c>
      <c r="H224" t="str">
        <f t="shared" si="63"/>
        <v xml:space="preserve">Varun Nair(E1223) </v>
      </c>
      <c r="I224" t="s">
        <v>20</v>
      </c>
      <c r="J224" t="str">
        <f t="shared" si="64"/>
        <v>Pune</v>
      </c>
      <c r="K224" t="s">
        <v>893</v>
      </c>
      <c r="L224" t="str">
        <f t="shared" si="65"/>
        <v>Wednesday</v>
      </c>
      <c r="M224" t="str">
        <f t="shared" si="66"/>
        <v>Wed</v>
      </c>
      <c r="N224" t="str">
        <f t="shared" si="67"/>
        <v>day</v>
      </c>
      <c r="O224">
        <f t="shared" si="68"/>
        <v>1</v>
      </c>
      <c r="P224">
        <f t="shared" si="69"/>
        <v>2022</v>
      </c>
      <c r="Q224" t="s">
        <v>894</v>
      </c>
      <c r="R224">
        <f t="shared" si="70"/>
        <v>8</v>
      </c>
      <c r="S224">
        <f t="shared" si="71"/>
        <v>28</v>
      </c>
      <c r="T224">
        <f t="shared" si="72"/>
        <v>20</v>
      </c>
      <c r="U224">
        <v>62369</v>
      </c>
      <c r="V224">
        <v>67445</v>
      </c>
      <c r="W224" t="str">
        <f t="shared" si="73"/>
        <v>High Target</v>
      </c>
      <c r="X224" t="str">
        <f t="shared" si="74"/>
        <v>Medium Target</v>
      </c>
      <c r="Y224" t="s">
        <v>169</v>
      </c>
      <c r="Z224" t="str">
        <f t="shared" si="75"/>
        <v>DETAILED ANALYSIS</v>
      </c>
      <c r="AA224" t="str">
        <f t="shared" si="76"/>
        <v>detailed analysis</v>
      </c>
      <c r="AB224" t="str">
        <f t="shared" si="77"/>
        <v>Detailed Analysis</v>
      </c>
    </row>
    <row r="225" spans="1:28">
      <c r="A225" t="s">
        <v>895</v>
      </c>
      <c r="B225" t="s">
        <v>318</v>
      </c>
      <c r="C225">
        <f t="shared" si="60"/>
        <v>15</v>
      </c>
      <c r="D225" t="s">
        <v>27</v>
      </c>
      <c r="E225" t="str">
        <f t="shared" si="59"/>
        <v>Siddharth Mehta(E1224) - Marketing</v>
      </c>
      <c r="F225" t="str">
        <f t="shared" si="61"/>
        <v>Marketing</v>
      </c>
      <c r="G225">
        <f t="shared" si="62"/>
        <v>24</v>
      </c>
      <c r="H225" t="str">
        <f t="shared" si="63"/>
        <v xml:space="preserve">Siddharth Mehta(E1224) </v>
      </c>
      <c r="I225" t="s">
        <v>80</v>
      </c>
      <c r="J225" t="str">
        <f t="shared" si="64"/>
        <v>Ahmed@bad</v>
      </c>
      <c r="K225" t="s">
        <v>896</v>
      </c>
      <c r="L225" t="str">
        <f t="shared" si="65"/>
        <v>Saturday</v>
      </c>
      <c r="M225" t="str">
        <f t="shared" si="66"/>
        <v>Sat</v>
      </c>
      <c r="N225" t="str">
        <f t="shared" si="67"/>
        <v>day</v>
      </c>
      <c r="O225">
        <f t="shared" si="68"/>
        <v>5</v>
      </c>
      <c r="P225">
        <f t="shared" si="69"/>
        <v>2021</v>
      </c>
      <c r="Q225" t="s">
        <v>897</v>
      </c>
      <c r="R225">
        <f t="shared" si="70"/>
        <v>10</v>
      </c>
      <c r="S225">
        <f t="shared" si="71"/>
        <v>8</v>
      </c>
      <c r="T225">
        <f t="shared" si="72"/>
        <v>33</v>
      </c>
      <c r="U225">
        <v>59890</v>
      </c>
      <c r="V225">
        <v>53588</v>
      </c>
      <c r="W225" t="str">
        <f t="shared" si="73"/>
        <v>High Target</v>
      </c>
      <c r="X225" t="str">
        <f t="shared" si="74"/>
        <v>Low Target</v>
      </c>
      <c r="Y225" t="s">
        <v>69</v>
      </c>
      <c r="Z225" t="str">
        <f t="shared" si="75"/>
        <v>GOOD TEAMWORK</v>
      </c>
      <c r="AA225" t="str">
        <f t="shared" si="76"/>
        <v>good teamwork</v>
      </c>
      <c r="AB225" t="str">
        <f t="shared" si="77"/>
        <v>Good Teamwork</v>
      </c>
    </row>
    <row r="226" spans="1:28">
      <c r="A226" t="s">
        <v>898</v>
      </c>
      <c r="B226" t="s">
        <v>899</v>
      </c>
      <c r="C226">
        <f t="shared" si="60"/>
        <v>13</v>
      </c>
      <c r="D226" t="s">
        <v>27</v>
      </c>
      <c r="E226" t="str">
        <f t="shared" si="59"/>
        <v>Kavita Saxena(E1225) - Marketing</v>
      </c>
      <c r="F226" t="str">
        <f t="shared" si="61"/>
        <v>Marketing</v>
      </c>
      <c r="G226">
        <f t="shared" si="62"/>
        <v>22</v>
      </c>
      <c r="H226" t="str">
        <f t="shared" si="63"/>
        <v xml:space="preserve">Kavita Saxena(E1225) </v>
      </c>
      <c r="I226" t="s">
        <v>35</v>
      </c>
      <c r="J226" t="str">
        <f t="shared" si="64"/>
        <v>Hyder@bad</v>
      </c>
      <c r="K226" t="s">
        <v>900</v>
      </c>
      <c r="L226" t="str">
        <f t="shared" si="65"/>
        <v>Tuesday</v>
      </c>
      <c r="M226" t="str">
        <f t="shared" si="66"/>
        <v>Tue</v>
      </c>
      <c r="N226" t="str">
        <f t="shared" si="67"/>
        <v>day</v>
      </c>
      <c r="O226">
        <f t="shared" si="68"/>
        <v>12</v>
      </c>
      <c r="P226">
        <f t="shared" si="69"/>
        <v>2021</v>
      </c>
      <c r="Q226" t="s">
        <v>901</v>
      </c>
      <c r="R226">
        <f t="shared" si="70"/>
        <v>9</v>
      </c>
      <c r="S226">
        <f t="shared" si="71"/>
        <v>58</v>
      </c>
      <c r="T226">
        <f t="shared" si="72"/>
        <v>34</v>
      </c>
      <c r="U226">
        <v>70652</v>
      </c>
      <c r="V226">
        <v>62434</v>
      </c>
      <c r="W226" t="str">
        <f t="shared" si="73"/>
        <v>High Target</v>
      </c>
      <c r="X226" t="str">
        <f t="shared" si="74"/>
        <v>Medium Target</v>
      </c>
      <c r="Y226" t="s">
        <v>69</v>
      </c>
      <c r="Z226" t="str">
        <f t="shared" si="75"/>
        <v>GOOD TEAMWORK</v>
      </c>
      <c r="AA226" t="str">
        <f t="shared" si="76"/>
        <v>good teamwork</v>
      </c>
      <c r="AB226" t="str">
        <f t="shared" si="77"/>
        <v>Good Teamwork</v>
      </c>
    </row>
    <row r="227" spans="1:28">
      <c r="A227" t="s">
        <v>902</v>
      </c>
      <c r="B227" t="s">
        <v>903</v>
      </c>
      <c r="C227">
        <f t="shared" si="60"/>
        <v>10</v>
      </c>
      <c r="D227" t="s">
        <v>27</v>
      </c>
      <c r="E227" t="str">
        <f t="shared" si="59"/>
        <v>Harsh Shah(E1226) - Marketing</v>
      </c>
      <c r="F227" t="str">
        <f t="shared" si="61"/>
        <v>Marketing</v>
      </c>
      <c r="G227">
        <f t="shared" si="62"/>
        <v>19</v>
      </c>
      <c r="H227" t="str">
        <f t="shared" si="63"/>
        <v xml:space="preserve">Harsh Shah(E1226) </v>
      </c>
      <c r="I227" t="s">
        <v>28</v>
      </c>
      <c r="J227" t="str">
        <f t="shared" si="64"/>
        <v>B@ngalore</v>
      </c>
      <c r="K227" t="s">
        <v>904</v>
      </c>
      <c r="L227" t="str">
        <f t="shared" si="65"/>
        <v>Friday</v>
      </c>
      <c r="M227" t="str">
        <f t="shared" si="66"/>
        <v>Fri</v>
      </c>
      <c r="N227" t="str">
        <f t="shared" si="67"/>
        <v>day</v>
      </c>
      <c r="O227">
        <f t="shared" si="68"/>
        <v>5</v>
      </c>
      <c r="P227">
        <f t="shared" si="69"/>
        <v>2022</v>
      </c>
      <c r="Q227" t="s">
        <v>905</v>
      </c>
      <c r="R227">
        <f t="shared" si="70"/>
        <v>9</v>
      </c>
      <c r="S227">
        <f t="shared" si="71"/>
        <v>35</v>
      </c>
      <c r="T227">
        <f t="shared" si="72"/>
        <v>19</v>
      </c>
      <c r="U227">
        <v>59240</v>
      </c>
      <c r="V227">
        <v>54736</v>
      </c>
      <c r="W227" t="str">
        <f t="shared" si="73"/>
        <v>High Target</v>
      </c>
      <c r="X227" t="str">
        <f t="shared" si="74"/>
        <v>Low Target</v>
      </c>
      <c r="Y227" t="s">
        <v>31</v>
      </c>
      <c r="Z227" t="str">
        <f t="shared" si="75"/>
        <v>CUSTOMER FOCUSED</v>
      </c>
      <c r="AA227" t="str">
        <f t="shared" si="76"/>
        <v>customer focused</v>
      </c>
      <c r="AB227" t="str">
        <f t="shared" si="77"/>
        <v>Customer Focused</v>
      </c>
    </row>
    <row r="228" spans="1:28">
      <c r="A228" t="s">
        <v>906</v>
      </c>
      <c r="B228" t="s">
        <v>907</v>
      </c>
      <c r="C228">
        <f t="shared" si="60"/>
        <v>12</v>
      </c>
      <c r="D228" t="s">
        <v>27</v>
      </c>
      <c r="E228" t="str">
        <f t="shared" si="59"/>
        <v>Anjali Mehta(E1227) - Marketing</v>
      </c>
      <c r="F228" t="str">
        <f t="shared" si="61"/>
        <v>Marketing</v>
      </c>
      <c r="G228">
        <f t="shared" si="62"/>
        <v>21</v>
      </c>
      <c r="H228" t="str">
        <f t="shared" si="63"/>
        <v xml:space="preserve">Anjali Mehta(E1227) </v>
      </c>
      <c r="I228" t="s">
        <v>35</v>
      </c>
      <c r="J228" t="str">
        <f t="shared" si="64"/>
        <v>Hyder@bad</v>
      </c>
      <c r="K228" t="s">
        <v>908</v>
      </c>
      <c r="L228" t="str">
        <f t="shared" si="65"/>
        <v>Sunday</v>
      </c>
      <c r="M228" t="str">
        <f t="shared" si="66"/>
        <v>Sun</v>
      </c>
      <c r="N228" t="str">
        <f t="shared" si="67"/>
        <v>day</v>
      </c>
      <c r="O228">
        <f t="shared" si="68"/>
        <v>9</v>
      </c>
      <c r="P228">
        <f t="shared" si="69"/>
        <v>2023</v>
      </c>
      <c r="Q228" t="s">
        <v>909</v>
      </c>
      <c r="R228">
        <f t="shared" si="70"/>
        <v>9</v>
      </c>
      <c r="S228">
        <f t="shared" si="71"/>
        <v>35</v>
      </c>
      <c r="T228">
        <f t="shared" si="72"/>
        <v>59</v>
      </c>
      <c r="U228">
        <v>95048</v>
      </c>
      <c r="V228">
        <v>92127</v>
      </c>
      <c r="W228" t="str">
        <f t="shared" si="73"/>
        <v>High Target</v>
      </c>
      <c r="X228" t="str">
        <f t="shared" si="74"/>
        <v>High Target</v>
      </c>
      <c r="Y228" t="s">
        <v>143</v>
      </c>
      <c r="Z228" t="str">
        <f t="shared" si="75"/>
        <v>NEEDS IMPROVEMENT</v>
      </c>
      <c r="AA228" t="str">
        <f t="shared" si="76"/>
        <v>needs improvement</v>
      </c>
      <c r="AB228" t="str">
        <f t="shared" si="77"/>
        <v>Needs Improvement</v>
      </c>
    </row>
    <row r="229" spans="1:28">
      <c r="A229" t="s">
        <v>910</v>
      </c>
      <c r="B229" t="s">
        <v>911</v>
      </c>
      <c r="C229">
        <f t="shared" si="60"/>
        <v>11</v>
      </c>
      <c r="D229" t="s">
        <v>27</v>
      </c>
      <c r="E229" t="str">
        <f t="shared" si="59"/>
        <v>Neha Mishra(E1228) - Marketing</v>
      </c>
      <c r="F229" t="str">
        <f t="shared" si="61"/>
        <v>Marketing</v>
      </c>
      <c r="G229">
        <f t="shared" si="62"/>
        <v>20</v>
      </c>
      <c r="H229" t="str">
        <f t="shared" si="63"/>
        <v xml:space="preserve">Neha Mishra(E1228) </v>
      </c>
      <c r="I229" t="s">
        <v>90</v>
      </c>
      <c r="J229" t="str">
        <f t="shared" si="64"/>
        <v>Kolk@ta</v>
      </c>
      <c r="K229" t="s">
        <v>912</v>
      </c>
      <c r="L229" t="str">
        <f t="shared" si="65"/>
        <v>Thursday</v>
      </c>
      <c r="M229" t="str">
        <f t="shared" si="66"/>
        <v>Thu</v>
      </c>
      <c r="N229" t="str">
        <f t="shared" si="67"/>
        <v>day</v>
      </c>
      <c r="O229">
        <f t="shared" si="68"/>
        <v>12</v>
      </c>
      <c r="P229">
        <f t="shared" si="69"/>
        <v>2022</v>
      </c>
      <c r="Q229" t="s">
        <v>913</v>
      </c>
      <c r="R229">
        <f t="shared" si="70"/>
        <v>8</v>
      </c>
      <c r="S229">
        <f t="shared" si="71"/>
        <v>18</v>
      </c>
      <c r="T229">
        <f t="shared" si="72"/>
        <v>2</v>
      </c>
      <c r="U229">
        <v>49029</v>
      </c>
      <c r="V229">
        <v>58850</v>
      </c>
      <c r="W229" t="str">
        <f t="shared" si="73"/>
        <v>High Target</v>
      </c>
      <c r="X229" t="str">
        <f t="shared" si="74"/>
        <v>Low Target</v>
      </c>
      <c r="Y229" t="s">
        <v>122</v>
      </c>
      <c r="Z229" t="str">
        <f t="shared" si="75"/>
        <v>CREATIVE IDEAS</v>
      </c>
      <c r="AA229" t="str">
        <f t="shared" si="76"/>
        <v>creative ideas</v>
      </c>
      <c r="AB229" t="str">
        <f t="shared" si="77"/>
        <v>Creative Ideas</v>
      </c>
    </row>
    <row r="230" spans="1:28">
      <c r="A230" t="s">
        <v>914</v>
      </c>
      <c r="B230" t="s">
        <v>915</v>
      </c>
      <c r="C230">
        <f t="shared" si="60"/>
        <v>16</v>
      </c>
      <c r="D230" t="s">
        <v>42</v>
      </c>
      <c r="E230" t="str">
        <f t="shared" si="59"/>
        <v>Madhuri Malhotra(E1229) - Finance</v>
      </c>
      <c r="F230" t="str">
        <f t="shared" si="61"/>
        <v>Finance</v>
      </c>
      <c r="G230">
        <f t="shared" si="62"/>
        <v>25</v>
      </c>
      <c r="H230" t="str">
        <f t="shared" si="63"/>
        <v xml:space="preserve">Madhuri Malhotra(E1229) </v>
      </c>
      <c r="I230" t="s">
        <v>80</v>
      </c>
      <c r="J230" t="str">
        <f t="shared" si="64"/>
        <v>Ahmed@bad</v>
      </c>
      <c r="K230" t="s">
        <v>916</v>
      </c>
      <c r="L230" t="str">
        <f t="shared" si="65"/>
        <v>Tuesday</v>
      </c>
      <c r="M230" t="str">
        <f t="shared" si="66"/>
        <v>Tue</v>
      </c>
      <c r="N230" t="str">
        <f t="shared" si="67"/>
        <v>day</v>
      </c>
      <c r="O230">
        <f t="shared" si="68"/>
        <v>3</v>
      </c>
      <c r="P230">
        <f t="shared" si="69"/>
        <v>2022</v>
      </c>
      <c r="Q230" t="s">
        <v>917</v>
      </c>
      <c r="R230">
        <f t="shared" si="70"/>
        <v>8</v>
      </c>
      <c r="S230">
        <f t="shared" si="71"/>
        <v>52</v>
      </c>
      <c r="T230">
        <f t="shared" si="72"/>
        <v>34</v>
      </c>
      <c r="U230">
        <v>60568</v>
      </c>
      <c r="V230">
        <v>57768</v>
      </c>
      <c r="W230" t="str">
        <f t="shared" si="73"/>
        <v>High Target</v>
      </c>
      <c r="X230" t="str">
        <f t="shared" si="74"/>
        <v>Low Target</v>
      </c>
      <c r="Y230" t="s">
        <v>113</v>
      </c>
      <c r="Z230" t="str">
        <f t="shared" si="75"/>
        <v>QUICK RESPONSE</v>
      </c>
      <c r="AA230" t="str">
        <f t="shared" si="76"/>
        <v>quick response</v>
      </c>
      <c r="AB230" t="str">
        <f t="shared" si="77"/>
        <v>Quick Response</v>
      </c>
    </row>
    <row r="231" spans="1:28">
      <c r="A231" t="s">
        <v>918</v>
      </c>
      <c r="B231" t="s">
        <v>919</v>
      </c>
      <c r="C231">
        <f t="shared" si="60"/>
        <v>9</v>
      </c>
      <c r="D231" t="s">
        <v>54</v>
      </c>
      <c r="E231" t="str">
        <f t="shared" si="59"/>
        <v>Neha Jain(E1230) - HR</v>
      </c>
      <c r="F231" t="str">
        <f t="shared" si="61"/>
        <v>HR</v>
      </c>
      <c r="G231">
        <f t="shared" si="62"/>
        <v>18</v>
      </c>
      <c r="H231" t="str">
        <f t="shared" si="63"/>
        <v xml:space="preserve">Neha Jain(E1230) </v>
      </c>
      <c r="I231" t="s">
        <v>28</v>
      </c>
      <c r="J231" t="str">
        <f t="shared" si="64"/>
        <v>B@ngalore</v>
      </c>
      <c r="K231" t="s">
        <v>920</v>
      </c>
      <c r="L231" t="str">
        <f t="shared" si="65"/>
        <v>Wednesday</v>
      </c>
      <c r="M231" t="str">
        <f t="shared" si="66"/>
        <v>Wed</v>
      </c>
      <c r="N231" t="str">
        <f t="shared" si="67"/>
        <v>day</v>
      </c>
      <c r="O231">
        <f t="shared" si="68"/>
        <v>4</v>
      </c>
      <c r="P231">
        <f t="shared" si="69"/>
        <v>2021</v>
      </c>
      <c r="Q231" t="s">
        <v>921</v>
      </c>
      <c r="R231">
        <f t="shared" si="70"/>
        <v>10</v>
      </c>
      <c r="S231">
        <f t="shared" si="71"/>
        <v>57</v>
      </c>
      <c r="T231">
        <f t="shared" si="72"/>
        <v>33</v>
      </c>
      <c r="U231">
        <v>55048</v>
      </c>
      <c r="V231">
        <v>54789</v>
      </c>
      <c r="W231" t="str">
        <f t="shared" si="73"/>
        <v>High Target</v>
      </c>
      <c r="X231" t="str">
        <f t="shared" si="74"/>
        <v>Low Target</v>
      </c>
      <c r="Y231" t="s">
        <v>160</v>
      </c>
      <c r="Z231" t="str">
        <f t="shared" si="75"/>
        <v>EXCELLENT SERVICE</v>
      </c>
      <c r="AA231" t="str">
        <f t="shared" si="76"/>
        <v>excellent service</v>
      </c>
      <c r="AB231" t="str">
        <f t="shared" si="77"/>
        <v>Excellent Service</v>
      </c>
    </row>
    <row r="232" spans="1:28">
      <c r="A232" t="s">
        <v>922</v>
      </c>
      <c r="B232" t="s">
        <v>923</v>
      </c>
      <c r="C232">
        <f t="shared" si="60"/>
        <v>11</v>
      </c>
      <c r="D232" t="s">
        <v>42</v>
      </c>
      <c r="E232" t="str">
        <f t="shared" si="59"/>
        <v>Neha Chopra(E1231) - Finance</v>
      </c>
      <c r="F232" t="str">
        <f t="shared" si="61"/>
        <v>Finance</v>
      </c>
      <c r="G232">
        <f t="shared" si="62"/>
        <v>20</v>
      </c>
      <c r="H232" t="str">
        <f t="shared" si="63"/>
        <v xml:space="preserve">Neha Chopra(E1231) </v>
      </c>
      <c r="I232" t="s">
        <v>80</v>
      </c>
      <c r="J232" t="str">
        <f t="shared" si="64"/>
        <v>Ahmed@bad</v>
      </c>
      <c r="K232" t="s">
        <v>924</v>
      </c>
      <c r="L232" t="str">
        <f t="shared" si="65"/>
        <v>Sunday</v>
      </c>
      <c r="M232" t="str">
        <f t="shared" si="66"/>
        <v>Sun</v>
      </c>
      <c r="N232" t="str">
        <f t="shared" si="67"/>
        <v>day</v>
      </c>
      <c r="O232">
        <f t="shared" si="68"/>
        <v>7</v>
      </c>
      <c r="P232">
        <f t="shared" si="69"/>
        <v>2021</v>
      </c>
      <c r="Q232" t="s">
        <v>925</v>
      </c>
      <c r="R232">
        <f t="shared" si="70"/>
        <v>10</v>
      </c>
      <c r="S232">
        <f t="shared" si="71"/>
        <v>49</v>
      </c>
      <c r="T232">
        <f t="shared" si="72"/>
        <v>8</v>
      </c>
      <c r="U232">
        <v>35689</v>
      </c>
      <c r="V232">
        <v>40339</v>
      </c>
      <c r="W232" t="str">
        <f t="shared" si="73"/>
        <v>Low Target</v>
      </c>
      <c r="X232" t="str">
        <f t="shared" si="74"/>
        <v>Low Target</v>
      </c>
      <c r="Y232" t="s">
        <v>169</v>
      </c>
      <c r="Z232" t="str">
        <f t="shared" si="75"/>
        <v>DETAILED ANALYSIS</v>
      </c>
      <c r="AA232" t="str">
        <f t="shared" si="76"/>
        <v>detailed analysis</v>
      </c>
      <c r="AB232" t="str">
        <f t="shared" si="77"/>
        <v>Detailed Analysis</v>
      </c>
    </row>
    <row r="233" spans="1:28">
      <c r="A233" t="s">
        <v>926</v>
      </c>
      <c r="B233" t="s">
        <v>79</v>
      </c>
      <c r="C233">
        <f t="shared" si="60"/>
        <v>12</v>
      </c>
      <c r="D233" t="s">
        <v>27</v>
      </c>
      <c r="E233" t="str">
        <f t="shared" si="59"/>
        <v>Yash Agarwal(E1232) - Marketing</v>
      </c>
      <c r="F233" t="str">
        <f t="shared" si="61"/>
        <v>Marketing</v>
      </c>
      <c r="G233">
        <f t="shared" si="62"/>
        <v>21</v>
      </c>
      <c r="H233" t="str">
        <f t="shared" si="63"/>
        <v xml:space="preserve">Yash Agarwal(E1232) </v>
      </c>
      <c r="I233" t="s">
        <v>28</v>
      </c>
      <c r="J233" t="str">
        <f t="shared" si="64"/>
        <v>B@ngalore</v>
      </c>
      <c r="K233" t="s">
        <v>927</v>
      </c>
      <c r="L233" t="str">
        <f t="shared" si="65"/>
        <v>Friday</v>
      </c>
      <c r="M233" t="str">
        <f t="shared" si="66"/>
        <v>Fri</v>
      </c>
      <c r="N233" t="str">
        <f t="shared" si="67"/>
        <v>day</v>
      </c>
      <c r="O233">
        <f t="shared" si="68"/>
        <v>8</v>
      </c>
      <c r="P233">
        <f t="shared" si="69"/>
        <v>2022</v>
      </c>
      <c r="Q233" t="s">
        <v>928</v>
      </c>
      <c r="R233">
        <f t="shared" si="70"/>
        <v>9</v>
      </c>
      <c r="S233">
        <f t="shared" si="71"/>
        <v>18</v>
      </c>
      <c r="T233">
        <f t="shared" si="72"/>
        <v>41</v>
      </c>
      <c r="U233">
        <v>34739</v>
      </c>
      <c r="V233">
        <v>43877</v>
      </c>
      <c r="W233" t="str">
        <f t="shared" si="73"/>
        <v>Low Target</v>
      </c>
      <c r="X233" t="str">
        <f t="shared" si="74"/>
        <v>Low Target</v>
      </c>
      <c r="Y233" t="s">
        <v>69</v>
      </c>
      <c r="Z233" t="str">
        <f t="shared" si="75"/>
        <v>GOOD TEAMWORK</v>
      </c>
      <c r="AA233" t="str">
        <f t="shared" si="76"/>
        <v>good teamwork</v>
      </c>
      <c r="AB233" t="str">
        <f t="shared" si="77"/>
        <v>Good Teamwork</v>
      </c>
    </row>
    <row r="234" spans="1:28">
      <c r="A234" t="s">
        <v>929</v>
      </c>
      <c r="B234" t="s">
        <v>930</v>
      </c>
      <c r="C234">
        <f t="shared" si="60"/>
        <v>11</v>
      </c>
      <c r="D234" t="s">
        <v>12</v>
      </c>
      <c r="E234" t="str">
        <f t="shared" si="59"/>
        <v>Manish Nair(E1233) - Sales</v>
      </c>
      <c r="F234" t="str">
        <f t="shared" si="61"/>
        <v>Sales</v>
      </c>
      <c r="G234">
        <f t="shared" si="62"/>
        <v>20</v>
      </c>
      <c r="H234" t="str">
        <f t="shared" si="63"/>
        <v xml:space="preserve">Manish Nair(E1233) </v>
      </c>
      <c r="I234" t="s">
        <v>66</v>
      </c>
      <c r="J234" t="str">
        <f t="shared" si="64"/>
        <v>Delhi</v>
      </c>
      <c r="K234" t="s">
        <v>931</v>
      </c>
      <c r="L234" t="str">
        <f t="shared" si="65"/>
        <v>Saturday</v>
      </c>
      <c r="M234" t="str">
        <f t="shared" si="66"/>
        <v>Sat</v>
      </c>
      <c r="N234" t="str">
        <f t="shared" si="67"/>
        <v>day</v>
      </c>
      <c r="O234">
        <f t="shared" si="68"/>
        <v>5</v>
      </c>
      <c r="P234">
        <f t="shared" si="69"/>
        <v>2023</v>
      </c>
      <c r="Q234" t="s">
        <v>932</v>
      </c>
      <c r="R234">
        <f t="shared" si="70"/>
        <v>8</v>
      </c>
      <c r="S234">
        <f t="shared" si="71"/>
        <v>59</v>
      </c>
      <c r="T234">
        <f t="shared" si="72"/>
        <v>58</v>
      </c>
      <c r="U234">
        <v>53398</v>
      </c>
      <c r="V234">
        <v>42381</v>
      </c>
      <c r="W234" t="str">
        <f t="shared" si="73"/>
        <v>Low Target</v>
      </c>
      <c r="X234" t="str">
        <f t="shared" si="74"/>
        <v>Low Target</v>
      </c>
      <c r="Y234" t="s">
        <v>31</v>
      </c>
      <c r="Z234" t="str">
        <f t="shared" si="75"/>
        <v>CUSTOMER FOCUSED</v>
      </c>
      <c r="AA234" t="str">
        <f t="shared" si="76"/>
        <v>customer focused</v>
      </c>
      <c r="AB234" t="str">
        <f t="shared" si="77"/>
        <v>Customer Focused</v>
      </c>
    </row>
    <row r="235" spans="1:28">
      <c r="A235" t="s">
        <v>933</v>
      </c>
      <c r="B235" t="s">
        <v>934</v>
      </c>
      <c r="C235">
        <f t="shared" si="60"/>
        <v>12</v>
      </c>
      <c r="D235" t="s">
        <v>42</v>
      </c>
      <c r="E235" t="str">
        <f t="shared" si="59"/>
        <v>Kavita Joshi(E1234) - Finance</v>
      </c>
      <c r="F235" t="str">
        <f t="shared" si="61"/>
        <v>Finance</v>
      </c>
      <c r="G235">
        <f t="shared" si="62"/>
        <v>21</v>
      </c>
      <c r="H235" t="str">
        <f t="shared" si="63"/>
        <v xml:space="preserve">Kavita Joshi(E1234) </v>
      </c>
      <c r="I235" t="s">
        <v>73</v>
      </c>
      <c r="J235" t="str">
        <f t="shared" si="64"/>
        <v>Mumb@i</v>
      </c>
      <c r="K235" t="s">
        <v>935</v>
      </c>
      <c r="L235" t="str">
        <f t="shared" si="65"/>
        <v>Tuesday</v>
      </c>
      <c r="M235" t="str">
        <f t="shared" si="66"/>
        <v>Tue</v>
      </c>
      <c r="N235" t="str">
        <f t="shared" si="67"/>
        <v>day</v>
      </c>
      <c r="O235">
        <f t="shared" si="68"/>
        <v>1</v>
      </c>
      <c r="P235">
        <f t="shared" si="69"/>
        <v>2021</v>
      </c>
      <c r="Q235" t="s">
        <v>936</v>
      </c>
      <c r="R235">
        <f t="shared" si="70"/>
        <v>9</v>
      </c>
      <c r="S235">
        <f t="shared" si="71"/>
        <v>36</v>
      </c>
      <c r="T235">
        <f t="shared" si="72"/>
        <v>38</v>
      </c>
      <c r="U235">
        <v>53989</v>
      </c>
      <c r="V235">
        <v>47032</v>
      </c>
      <c r="W235" t="str">
        <f t="shared" si="73"/>
        <v>Low Target</v>
      </c>
      <c r="X235" t="str">
        <f t="shared" si="74"/>
        <v>Low Target</v>
      </c>
      <c r="Y235" t="s">
        <v>143</v>
      </c>
      <c r="Z235" t="str">
        <f t="shared" si="75"/>
        <v>NEEDS IMPROVEMENT</v>
      </c>
      <c r="AA235" t="str">
        <f t="shared" si="76"/>
        <v>needs improvement</v>
      </c>
      <c r="AB235" t="str">
        <f t="shared" si="77"/>
        <v>Needs Improvement</v>
      </c>
    </row>
    <row r="236" spans="1:28">
      <c r="A236" t="s">
        <v>937</v>
      </c>
      <c r="B236" t="s">
        <v>183</v>
      </c>
      <c r="C236">
        <f t="shared" si="60"/>
        <v>12</v>
      </c>
      <c r="D236" t="s">
        <v>27</v>
      </c>
      <c r="E236" t="str">
        <f t="shared" si="59"/>
        <v>Deepak Goyal(E1235) - Marketing</v>
      </c>
      <c r="F236" t="str">
        <f t="shared" si="61"/>
        <v>Marketing</v>
      </c>
      <c r="G236">
        <f t="shared" si="62"/>
        <v>21</v>
      </c>
      <c r="H236" t="str">
        <f t="shared" si="63"/>
        <v xml:space="preserve">Deepak Goyal(E1235) </v>
      </c>
      <c r="I236" t="s">
        <v>66</v>
      </c>
      <c r="J236" t="str">
        <f t="shared" si="64"/>
        <v>Delhi</v>
      </c>
      <c r="K236" t="s">
        <v>870</v>
      </c>
      <c r="L236" t="str">
        <f t="shared" si="65"/>
        <v>Monday</v>
      </c>
      <c r="M236" t="str">
        <f t="shared" si="66"/>
        <v>Mon</v>
      </c>
      <c r="N236" t="str">
        <f t="shared" si="67"/>
        <v>day</v>
      </c>
      <c r="O236">
        <f t="shared" si="68"/>
        <v>10</v>
      </c>
      <c r="P236">
        <f t="shared" si="69"/>
        <v>2023</v>
      </c>
      <c r="Q236" t="s">
        <v>938</v>
      </c>
      <c r="R236">
        <f t="shared" si="70"/>
        <v>9</v>
      </c>
      <c r="S236">
        <f t="shared" si="71"/>
        <v>17</v>
      </c>
      <c r="T236">
        <f t="shared" si="72"/>
        <v>12</v>
      </c>
      <c r="U236">
        <v>85388</v>
      </c>
      <c r="V236">
        <v>93006</v>
      </c>
      <c r="W236" t="str">
        <f t="shared" si="73"/>
        <v>High Target</v>
      </c>
      <c r="X236" t="str">
        <f t="shared" si="74"/>
        <v>High Target</v>
      </c>
      <c r="Y236" t="s">
        <v>122</v>
      </c>
      <c r="Z236" t="str">
        <f t="shared" si="75"/>
        <v>CREATIVE IDEAS</v>
      </c>
      <c r="AA236" t="str">
        <f t="shared" si="76"/>
        <v>creative ideas</v>
      </c>
      <c r="AB236" t="str">
        <f t="shared" si="77"/>
        <v>Creative Ideas</v>
      </c>
    </row>
    <row r="237" spans="1:28">
      <c r="A237" t="s">
        <v>939</v>
      </c>
      <c r="B237" t="s">
        <v>940</v>
      </c>
      <c r="C237">
        <f t="shared" si="60"/>
        <v>14</v>
      </c>
      <c r="D237" t="s">
        <v>42</v>
      </c>
      <c r="E237" t="str">
        <f t="shared" si="59"/>
        <v>Sneha Malhotra(E1236) - Finance</v>
      </c>
      <c r="F237" t="str">
        <f t="shared" si="61"/>
        <v>Finance</v>
      </c>
      <c r="G237">
        <f t="shared" si="62"/>
        <v>23</v>
      </c>
      <c r="H237" t="str">
        <f t="shared" si="63"/>
        <v xml:space="preserve">Sneha Malhotra(E1236) </v>
      </c>
      <c r="I237" t="s">
        <v>66</v>
      </c>
      <c r="J237" t="str">
        <f t="shared" si="64"/>
        <v>Delhi</v>
      </c>
      <c r="K237" t="s">
        <v>941</v>
      </c>
      <c r="L237" t="str">
        <f t="shared" si="65"/>
        <v>Friday</v>
      </c>
      <c r="M237" t="str">
        <f t="shared" si="66"/>
        <v>Fri</v>
      </c>
      <c r="N237" t="str">
        <f t="shared" si="67"/>
        <v>day</v>
      </c>
      <c r="O237">
        <f t="shared" si="68"/>
        <v>1</v>
      </c>
      <c r="P237">
        <f t="shared" si="69"/>
        <v>2021</v>
      </c>
      <c r="Q237" t="s">
        <v>942</v>
      </c>
      <c r="R237">
        <f t="shared" si="70"/>
        <v>10</v>
      </c>
      <c r="S237">
        <f t="shared" si="71"/>
        <v>21</v>
      </c>
      <c r="T237">
        <f t="shared" si="72"/>
        <v>50</v>
      </c>
      <c r="U237">
        <v>56993</v>
      </c>
      <c r="V237">
        <v>59334</v>
      </c>
      <c r="W237" t="str">
        <f t="shared" si="73"/>
        <v>High Target</v>
      </c>
      <c r="X237" t="str">
        <f t="shared" si="74"/>
        <v>Low Target</v>
      </c>
      <c r="Y237" t="s">
        <v>113</v>
      </c>
      <c r="Z237" t="str">
        <f t="shared" si="75"/>
        <v>QUICK RESPONSE</v>
      </c>
      <c r="AA237" t="str">
        <f t="shared" si="76"/>
        <v>quick response</v>
      </c>
      <c r="AB237" t="str">
        <f t="shared" si="77"/>
        <v>Quick Response</v>
      </c>
    </row>
    <row r="238" spans="1:28">
      <c r="A238" t="s">
        <v>943</v>
      </c>
      <c r="B238" t="s">
        <v>944</v>
      </c>
      <c r="C238">
        <f t="shared" si="60"/>
        <v>13</v>
      </c>
      <c r="D238" t="s">
        <v>27</v>
      </c>
      <c r="E238" t="str">
        <f t="shared" si="59"/>
        <v>Shreya Bansal(E1237) - Marketing</v>
      </c>
      <c r="F238" t="str">
        <f t="shared" si="61"/>
        <v>Marketing</v>
      </c>
      <c r="G238">
        <f t="shared" si="62"/>
        <v>22</v>
      </c>
      <c r="H238" t="str">
        <f t="shared" si="63"/>
        <v xml:space="preserve">Shreya Bansal(E1237) </v>
      </c>
      <c r="I238" t="s">
        <v>35</v>
      </c>
      <c r="J238" t="str">
        <f t="shared" si="64"/>
        <v>Hyder@bad</v>
      </c>
      <c r="K238" t="s">
        <v>945</v>
      </c>
      <c r="L238" t="str">
        <f t="shared" si="65"/>
        <v>Sunday</v>
      </c>
      <c r="M238" t="str">
        <f t="shared" si="66"/>
        <v>Sun</v>
      </c>
      <c r="N238" t="str">
        <f t="shared" si="67"/>
        <v>day</v>
      </c>
      <c r="O238">
        <f t="shared" si="68"/>
        <v>6</v>
      </c>
      <c r="P238">
        <f t="shared" si="69"/>
        <v>2021</v>
      </c>
      <c r="Q238" t="s">
        <v>946</v>
      </c>
      <c r="R238">
        <f t="shared" si="70"/>
        <v>9</v>
      </c>
      <c r="S238">
        <f t="shared" si="71"/>
        <v>42</v>
      </c>
      <c r="T238">
        <f t="shared" si="72"/>
        <v>6</v>
      </c>
      <c r="U238">
        <v>46324</v>
      </c>
      <c r="V238">
        <v>52109</v>
      </c>
      <c r="W238" t="str">
        <f t="shared" si="73"/>
        <v>High Target</v>
      </c>
      <c r="X238" t="str">
        <f t="shared" si="74"/>
        <v>Low Target</v>
      </c>
      <c r="Y238" t="s">
        <v>57</v>
      </c>
      <c r="Z238" t="str">
        <f t="shared" si="75"/>
        <v>HELPFUL ATTITUDE</v>
      </c>
      <c r="AA238" t="str">
        <f t="shared" si="76"/>
        <v>helpful attitude</v>
      </c>
      <c r="AB238" t="str">
        <f t="shared" si="77"/>
        <v>Helpful Attitude</v>
      </c>
    </row>
    <row r="239" spans="1:28">
      <c r="A239" t="s">
        <v>947</v>
      </c>
      <c r="B239" t="s">
        <v>948</v>
      </c>
      <c r="C239">
        <f t="shared" si="60"/>
        <v>10</v>
      </c>
      <c r="D239" t="s">
        <v>12</v>
      </c>
      <c r="E239" t="str">
        <f t="shared" si="59"/>
        <v>Rohan Nair(E1238) - Sales</v>
      </c>
      <c r="F239" t="str">
        <f t="shared" si="61"/>
        <v>Sales</v>
      </c>
      <c r="G239">
        <f t="shared" si="62"/>
        <v>19</v>
      </c>
      <c r="H239" t="str">
        <f t="shared" si="63"/>
        <v xml:space="preserve">Rohan Nair(E1238) </v>
      </c>
      <c r="I239" t="s">
        <v>13</v>
      </c>
      <c r="J239" t="str">
        <f t="shared" si="64"/>
        <v>Chenn@i</v>
      </c>
      <c r="K239" t="s">
        <v>949</v>
      </c>
      <c r="L239" t="str">
        <f t="shared" si="65"/>
        <v>Saturday</v>
      </c>
      <c r="M239" t="str">
        <f t="shared" si="66"/>
        <v>Sat</v>
      </c>
      <c r="N239" t="str">
        <f t="shared" si="67"/>
        <v>day</v>
      </c>
      <c r="O239">
        <f t="shared" si="68"/>
        <v>2</v>
      </c>
      <c r="P239">
        <f t="shared" si="69"/>
        <v>2023</v>
      </c>
      <c r="Q239" t="s">
        <v>950</v>
      </c>
      <c r="R239">
        <f t="shared" si="70"/>
        <v>8</v>
      </c>
      <c r="S239">
        <f t="shared" si="71"/>
        <v>28</v>
      </c>
      <c r="T239">
        <f t="shared" si="72"/>
        <v>48</v>
      </c>
      <c r="U239">
        <v>64099</v>
      </c>
      <c r="V239">
        <v>57497</v>
      </c>
      <c r="W239" t="str">
        <f t="shared" si="73"/>
        <v>High Target</v>
      </c>
      <c r="X239" t="str">
        <f t="shared" si="74"/>
        <v>Low Target</v>
      </c>
      <c r="Y239" t="s">
        <v>143</v>
      </c>
      <c r="Z239" t="str">
        <f t="shared" si="75"/>
        <v>NEEDS IMPROVEMENT</v>
      </c>
      <c r="AA239" t="str">
        <f t="shared" si="76"/>
        <v>needs improvement</v>
      </c>
      <c r="AB239" t="str">
        <f t="shared" si="77"/>
        <v>Needs Improvement</v>
      </c>
    </row>
    <row r="240" spans="1:28">
      <c r="A240" t="s">
        <v>951</v>
      </c>
      <c r="B240" t="s">
        <v>952</v>
      </c>
      <c r="C240">
        <f t="shared" si="60"/>
        <v>13</v>
      </c>
      <c r="D240" t="s">
        <v>12</v>
      </c>
      <c r="E240" t="str">
        <f t="shared" si="59"/>
        <v>Manish Mishra(E1239) - Sales</v>
      </c>
      <c r="F240" t="str">
        <f t="shared" si="61"/>
        <v>Sales</v>
      </c>
      <c r="G240">
        <f t="shared" si="62"/>
        <v>22</v>
      </c>
      <c r="H240" t="str">
        <f t="shared" si="63"/>
        <v xml:space="preserve">Manish Mishra(E1239) </v>
      </c>
      <c r="I240" t="s">
        <v>13</v>
      </c>
      <c r="J240" t="str">
        <f t="shared" si="64"/>
        <v>Chenn@i</v>
      </c>
      <c r="K240" t="s">
        <v>953</v>
      </c>
      <c r="L240" t="str">
        <f t="shared" si="65"/>
        <v>Saturday</v>
      </c>
      <c r="M240" t="str">
        <f t="shared" si="66"/>
        <v>Sat</v>
      </c>
      <c r="N240" t="str">
        <f t="shared" si="67"/>
        <v>day</v>
      </c>
      <c r="O240">
        <f t="shared" si="68"/>
        <v>8</v>
      </c>
      <c r="P240">
        <f t="shared" si="69"/>
        <v>2024</v>
      </c>
      <c r="Q240" t="s">
        <v>954</v>
      </c>
      <c r="R240">
        <f t="shared" si="70"/>
        <v>9</v>
      </c>
      <c r="S240">
        <f t="shared" si="71"/>
        <v>44</v>
      </c>
      <c r="T240">
        <f t="shared" si="72"/>
        <v>15</v>
      </c>
      <c r="U240">
        <v>36818</v>
      </c>
      <c r="V240">
        <v>44071</v>
      </c>
      <c r="W240" t="str">
        <f t="shared" si="73"/>
        <v>Low Target</v>
      </c>
      <c r="X240" t="str">
        <f t="shared" si="74"/>
        <v>Low Target</v>
      </c>
      <c r="Y240" t="s">
        <v>57</v>
      </c>
      <c r="Z240" t="str">
        <f t="shared" si="75"/>
        <v>HELPFUL ATTITUDE</v>
      </c>
      <c r="AA240" t="str">
        <f t="shared" si="76"/>
        <v>helpful attitude</v>
      </c>
      <c r="AB240" t="str">
        <f t="shared" si="77"/>
        <v>Helpful Attitude</v>
      </c>
    </row>
    <row r="241" spans="1:28">
      <c r="A241" t="s">
        <v>955</v>
      </c>
      <c r="B241" t="s">
        <v>956</v>
      </c>
      <c r="C241">
        <f t="shared" si="60"/>
        <v>12</v>
      </c>
      <c r="D241" t="s">
        <v>27</v>
      </c>
      <c r="E241" t="str">
        <f t="shared" si="59"/>
        <v>Anjali Joshi(E1240) - Marketing</v>
      </c>
      <c r="F241" t="str">
        <f t="shared" si="61"/>
        <v>Marketing</v>
      </c>
      <c r="G241">
        <f t="shared" si="62"/>
        <v>21</v>
      </c>
      <c r="H241" t="str">
        <f t="shared" si="63"/>
        <v xml:space="preserve">Anjali Joshi(E1240) </v>
      </c>
      <c r="I241" t="s">
        <v>13</v>
      </c>
      <c r="J241" t="str">
        <f t="shared" si="64"/>
        <v>Chenn@i</v>
      </c>
      <c r="K241" t="s">
        <v>957</v>
      </c>
      <c r="L241" t="str">
        <f t="shared" si="65"/>
        <v>Thursday</v>
      </c>
      <c r="M241" t="str">
        <f t="shared" si="66"/>
        <v>Thu</v>
      </c>
      <c r="N241" t="str">
        <f t="shared" si="67"/>
        <v>day</v>
      </c>
      <c r="O241">
        <f t="shared" si="68"/>
        <v>11</v>
      </c>
      <c r="P241">
        <f t="shared" si="69"/>
        <v>2024</v>
      </c>
      <c r="Q241" t="s">
        <v>958</v>
      </c>
      <c r="R241">
        <f t="shared" si="70"/>
        <v>8</v>
      </c>
      <c r="S241">
        <f t="shared" si="71"/>
        <v>40</v>
      </c>
      <c r="T241">
        <f t="shared" si="72"/>
        <v>58</v>
      </c>
      <c r="U241">
        <v>68422</v>
      </c>
      <c r="V241">
        <v>59335</v>
      </c>
      <c r="W241" t="str">
        <f t="shared" si="73"/>
        <v>High Target</v>
      </c>
      <c r="X241" t="str">
        <f t="shared" si="74"/>
        <v>Low Target</v>
      </c>
      <c r="Y241" t="s">
        <v>16</v>
      </c>
      <c r="Z241" t="str">
        <f t="shared" si="75"/>
        <v>EXCELLENT LEADERSHIP</v>
      </c>
      <c r="AA241" t="str">
        <f t="shared" si="76"/>
        <v>excellent leadership</v>
      </c>
      <c r="AB241" t="str">
        <f t="shared" si="77"/>
        <v>Excellent Leadership</v>
      </c>
    </row>
    <row r="242" spans="1:28">
      <c r="A242" t="s">
        <v>959</v>
      </c>
      <c r="B242" t="s">
        <v>960</v>
      </c>
      <c r="C242">
        <f t="shared" si="60"/>
        <v>10</v>
      </c>
      <c r="D242" t="s">
        <v>54</v>
      </c>
      <c r="E242" t="str">
        <f t="shared" si="59"/>
        <v>Pooja Nair(E1241) - HR</v>
      </c>
      <c r="F242" t="str">
        <f t="shared" si="61"/>
        <v>HR</v>
      </c>
      <c r="G242">
        <f t="shared" si="62"/>
        <v>19</v>
      </c>
      <c r="H242" t="str">
        <f t="shared" si="63"/>
        <v xml:space="preserve">Pooja Nair(E1241) </v>
      </c>
      <c r="I242" t="s">
        <v>80</v>
      </c>
      <c r="J242" t="str">
        <f t="shared" si="64"/>
        <v>Ahmed@bad</v>
      </c>
      <c r="K242" t="s">
        <v>961</v>
      </c>
      <c r="L242" t="str">
        <f t="shared" si="65"/>
        <v>Wednesday</v>
      </c>
      <c r="M242" t="str">
        <f t="shared" si="66"/>
        <v>Wed</v>
      </c>
      <c r="N242" t="str">
        <f t="shared" si="67"/>
        <v>day</v>
      </c>
      <c r="O242">
        <f t="shared" si="68"/>
        <v>11</v>
      </c>
      <c r="P242">
        <f t="shared" si="69"/>
        <v>2021</v>
      </c>
      <c r="Q242" t="s">
        <v>962</v>
      </c>
      <c r="R242">
        <f t="shared" si="70"/>
        <v>9</v>
      </c>
      <c r="S242">
        <f t="shared" si="71"/>
        <v>47</v>
      </c>
      <c r="T242">
        <f t="shared" si="72"/>
        <v>38</v>
      </c>
      <c r="U242">
        <v>76737</v>
      </c>
      <c r="V242">
        <v>64485</v>
      </c>
      <c r="W242" t="str">
        <f t="shared" si="73"/>
        <v>High Target</v>
      </c>
      <c r="X242" t="str">
        <f t="shared" si="74"/>
        <v>Medium Target</v>
      </c>
      <c r="Y242" t="s">
        <v>23</v>
      </c>
      <c r="Z242" t="str">
        <f t="shared" si="75"/>
        <v>FAST DELIVERY</v>
      </c>
      <c r="AA242" t="str">
        <f t="shared" si="76"/>
        <v>fast delivery</v>
      </c>
      <c r="AB242" t="str">
        <f t="shared" si="77"/>
        <v>Fast Delivery</v>
      </c>
    </row>
    <row r="243" spans="1:28">
      <c r="A243" t="s">
        <v>963</v>
      </c>
      <c r="B243" t="s">
        <v>450</v>
      </c>
      <c r="C243">
        <f t="shared" si="60"/>
        <v>14</v>
      </c>
      <c r="D243" t="s">
        <v>54</v>
      </c>
      <c r="E243" t="str">
        <f t="shared" si="59"/>
        <v>Ritika Agarwal(E1242) - HR</v>
      </c>
      <c r="F243" t="str">
        <f t="shared" si="61"/>
        <v>HR</v>
      </c>
      <c r="G243">
        <f t="shared" si="62"/>
        <v>23</v>
      </c>
      <c r="H243" t="str">
        <f t="shared" si="63"/>
        <v xml:space="preserve">Ritika Agarwal(E1242) </v>
      </c>
      <c r="I243" t="s">
        <v>28</v>
      </c>
      <c r="J243" t="str">
        <f t="shared" si="64"/>
        <v>B@ngalore</v>
      </c>
      <c r="K243" t="s">
        <v>964</v>
      </c>
      <c r="L243" t="str">
        <f t="shared" si="65"/>
        <v>Friday</v>
      </c>
      <c r="M243" t="str">
        <f t="shared" si="66"/>
        <v>Fri</v>
      </c>
      <c r="N243" t="str">
        <f t="shared" si="67"/>
        <v>day</v>
      </c>
      <c r="O243">
        <f t="shared" si="68"/>
        <v>10</v>
      </c>
      <c r="P243">
        <f t="shared" si="69"/>
        <v>2024</v>
      </c>
      <c r="Q243" t="s">
        <v>965</v>
      </c>
      <c r="R243">
        <f t="shared" si="70"/>
        <v>10</v>
      </c>
      <c r="S243">
        <f t="shared" si="71"/>
        <v>55</v>
      </c>
      <c r="T243">
        <f t="shared" si="72"/>
        <v>50</v>
      </c>
      <c r="U243">
        <v>64804</v>
      </c>
      <c r="V243">
        <v>45365</v>
      </c>
      <c r="W243" t="str">
        <f t="shared" si="73"/>
        <v>Low Target</v>
      </c>
      <c r="X243" t="str">
        <f t="shared" si="74"/>
        <v>Low Target</v>
      </c>
      <c r="Y243" t="s">
        <v>57</v>
      </c>
      <c r="Z243" t="str">
        <f t="shared" si="75"/>
        <v>HELPFUL ATTITUDE</v>
      </c>
      <c r="AA243" t="str">
        <f t="shared" si="76"/>
        <v>helpful attitude</v>
      </c>
      <c r="AB243" t="str">
        <f t="shared" si="77"/>
        <v>Helpful Attitude</v>
      </c>
    </row>
    <row r="244" spans="1:28">
      <c r="A244" t="s">
        <v>966</v>
      </c>
      <c r="B244" t="s">
        <v>724</v>
      </c>
      <c r="C244">
        <f t="shared" si="60"/>
        <v>12</v>
      </c>
      <c r="D244" t="s">
        <v>12</v>
      </c>
      <c r="E244" t="str">
        <f t="shared" si="59"/>
        <v>Aakash Reddy(E1243) - Sales</v>
      </c>
      <c r="F244" t="str">
        <f t="shared" si="61"/>
        <v>Sales</v>
      </c>
      <c r="G244">
        <f t="shared" si="62"/>
        <v>21</v>
      </c>
      <c r="H244" t="str">
        <f t="shared" si="63"/>
        <v xml:space="preserve">Aakash Reddy(E1243) </v>
      </c>
      <c r="I244" t="s">
        <v>20</v>
      </c>
      <c r="J244" t="str">
        <f t="shared" si="64"/>
        <v>Pune</v>
      </c>
      <c r="K244" t="s">
        <v>967</v>
      </c>
      <c r="L244" t="str">
        <f t="shared" si="65"/>
        <v>Friday</v>
      </c>
      <c r="M244" t="str">
        <f t="shared" si="66"/>
        <v>Fri</v>
      </c>
      <c r="N244" t="str">
        <f t="shared" si="67"/>
        <v>day</v>
      </c>
      <c r="O244">
        <f t="shared" si="68"/>
        <v>5</v>
      </c>
      <c r="P244">
        <f t="shared" si="69"/>
        <v>2021</v>
      </c>
      <c r="Q244" t="s">
        <v>968</v>
      </c>
      <c r="R244">
        <f t="shared" si="70"/>
        <v>10</v>
      </c>
      <c r="S244">
        <f t="shared" si="71"/>
        <v>57</v>
      </c>
      <c r="T244">
        <f t="shared" si="72"/>
        <v>32</v>
      </c>
      <c r="U244">
        <v>48068</v>
      </c>
      <c r="V244">
        <v>53248</v>
      </c>
      <c r="W244" t="str">
        <f t="shared" si="73"/>
        <v>High Target</v>
      </c>
      <c r="X244" t="str">
        <f t="shared" si="74"/>
        <v>Low Target</v>
      </c>
      <c r="Y244" t="s">
        <v>113</v>
      </c>
      <c r="Z244" t="str">
        <f t="shared" si="75"/>
        <v>QUICK RESPONSE</v>
      </c>
      <c r="AA244" t="str">
        <f t="shared" si="76"/>
        <v>quick response</v>
      </c>
      <c r="AB244" t="str">
        <f t="shared" si="77"/>
        <v>Quick Response</v>
      </c>
    </row>
    <row r="245" spans="1:28">
      <c r="A245" t="s">
        <v>969</v>
      </c>
      <c r="B245" t="s">
        <v>882</v>
      </c>
      <c r="C245">
        <f t="shared" si="60"/>
        <v>12</v>
      </c>
      <c r="D245" t="s">
        <v>27</v>
      </c>
      <c r="E245" t="str">
        <f t="shared" si="59"/>
        <v>Rohan Saxena(E1244) - Marketing</v>
      </c>
      <c r="F245" t="str">
        <f t="shared" si="61"/>
        <v>Marketing</v>
      </c>
      <c r="G245">
        <f t="shared" si="62"/>
        <v>21</v>
      </c>
      <c r="H245" t="str">
        <f t="shared" si="63"/>
        <v xml:space="preserve">Rohan Saxena(E1244) </v>
      </c>
      <c r="I245" t="s">
        <v>20</v>
      </c>
      <c r="J245" t="str">
        <f t="shared" si="64"/>
        <v>Pune</v>
      </c>
      <c r="K245" t="s">
        <v>964</v>
      </c>
      <c r="L245" t="str">
        <f t="shared" si="65"/>
        <v>Friday</v>
      </c>
      <c r="M245" t="str">
        <f t="shared" si="66"/>
        <v>Fri</v>
      </c>
      <c r="N245" t="str">
        <f t="shared" si="67"/>
        <v>day</v>
      </c>
      <c r="O245">
        <f t="shared" si="68"/>
        <v>10</v>
      </c>
      <c r="P245">
        <f t="shared" si="69"/>
        <v>2024</v>
      </c>
      <c r="Q245" t="s">
        <v>970</v>
      </c>
      <c r="R245">
        <f t="shared" si="70"/>
        <v>8</v>
      </c>
      <c r="S245">
        <f t="shared" si="71"/>
        <v>45</v>
      </c>
      <c r="T245">
        <f t="shared" si="72"/>
        <v>37</v>
      </c>
      <c r="U245">
        <v>62994</v>
      </c>
      <c r="V245">
        <v>72035</v>
      </c>
      <c r="W245" t="str">
        <f t="shared" si="73"/>
        <v>High Target</v>
      </c>
      <c r="X245" t="str">
        <f t="shared" si="74"/>
        <v>Medium Target</v>
      </c>
      <c r="Y245" t="s">
        <v>488</v>
      </c>
      <c r="Z245" t="str">
        <f t="shared" si="75"/>
        <v>GREAT SUPPORT</v>
      </c>
      <c r="AA245" t="str">
        <f t="shared" si="76"/>
        <v>great support</v>
      </c>
      <c r="AB245" t="str">
        <f t="shared" si="77"/>
        <v>Great Support</v>
      </c>
    </row>
    <row r="246" spans="1:28">
      <c r="A246" t="s">
        <v>971</v>
      </c>
      <c r="B246" t="s">
        <v>972</v>
      </c>
      <c r="C246">
        <f t="shared" si="60"/>
        <v>15</v>
      </c>
      <c r="D246" t="s">
        <v>12</v>
      </c>
      <c r="E246" t="str">
        <f t="shared" si="59"/>
        <v>Aakash Malhotra(E1245) - Sales</v>
      </c>
      <c r="F246" t="str">
        <f t="shared" si="61"/>
        <v>Sales</v>
      </c>
      <c r="G246">
        <f t="shared" si="62"/>
        <v>24</v>
      </c>
      <c r="H246" t="str">
        <f t="shared" si="63"/>
        <v xml:space="preserve">Aakash Malhotra(E1245) </v>
      </c>
      <c r="I246" t="s">
        <v>80</v>
      </c>
      <c r="J246" t="str">
        <f t="shared" si="64"/>
        <v>Ahmed@bad</v>
      </c>
      <c r="K246" t="s">
        <v>973</v>
      </c>
      <c r="L246" t="str">
        <f t="shared" si="65"/>
        <v>Tuesday</v>
      </c>
      <c r="M246" t="str">
        <f t="shared" si="66"/>
        <v>Tue</v>
      </c>
      <c r="N246" t="str">
        <f t="shared" si="67"/>
        <v>day</v>
      </c>
      <c r="O246">
        <f t="shared" si="68"/>
        <v>9</v>
      </c>
      <c r="P246">
        <f t="shared" si="69"/>
        <v>2021</v>
      </c>
      <c r="Q246" t="s">
        <v>974</v>
      </c>
      <c r="R246">
        <f t="shared" si="70"/>
        <v>10</v>
      </c>
      <c r="S246">
        <f t="shared" si="71"/>
        <v>26</v>
      </c>
      <c r="T246">
        <f t="shared" si="72"/>
        <v>29</v>
      </c>
      <c r="U246">
        <v>65739</v>
      </c>
      <c r="V246">
        <v>76956</v>
      </c>
      <c r="W246" t="str">
        <f t="shared" si="73"/>
        <v>High Target</v>
      </c>
      <c r="X246" t="str">
        <f t="shared" si="74"/>
        <v>Medium Target</v>
      </c>
      <c r="Y246" t="s">
        <v>45</v>
      </c>
      <c r="Z246" t="str">
        <f t="shared" si="75"/>
        <v>STRONG PRESENTATION</v>
      </c>
      <c r="AA246" t="str">
        <f t="shared" si="76"/>
        <v>strong presentation</v>
      </c>
      <c r="AB246" t="str">
        <f t="shared" si="77"/>
        <v>Strong Presentation</v>
      </c>
    </row>
    <row r="247" spans="1:28">
      <c r="A247" t="s">
        <v>975</v>
      </c>
      <c r="B247" t="s">
        <v>976</v>
      </c>
      <c r="C247">
        <f t="shared" si="60"/>
        <v>12</v>
      </c>
      <c r="D247" t="s">
        <v>12</v>
      </c>
      <c r="E247" t="str">
        <f t="shared" si="59"/>
        <v>Deepak Gupta(E1246) - Sales</v>
      </c>
      <c r="F247" t="str">
        <f t="shared" si="61"/>
        <v>Sales</v>
      </c>
      <c r="G247">
        <f t="shared" si="62"/>
        <v>21</v>
      </c>
      <c r="H247" t="str">
        <f t="shared" si="63"/>
        <v xml:space="preserve">Deepak Gupta(E1246) </v>
      </c>
      <c r="I247" t="s">
        <v>90</v>
      </c>
      <c r="J247" t="str">
        <f t="shared" si="64"/>
        <v>Kolk@ta</v>
      </c>
      <c r="K247" t="s">
        <v>977</v>
      </c>
      <c r="L247" t="str">
        <f t="shared" si="65"/>
        <v>Monday</v>
      </c>
      <c r="M247" t="str">
        <f t="shared" si="66"/>
        <v>Mon</v>
      </c>
      <c r="N247" t="str">
        <f t="shared" si="67"/>
        <v>day</v>
      </c>
      <c r="O247">
        <f t="shared" si="68"/>
        <v>6</v>
      </c>
      <c r="P247">
        <f t="shared" si="69"/>
        <v>2022</v>
      </c>
      <c r="Q247" t="s">
        <v>978</v>
      </c>
      <c r="R247">
        <f t="shared" si="70"/>
        <v>8</v>
      </c>
      <c r="S247">
        <f t="shared" si="71"/>
        <v>47</v>
      </c>
      <c r="T247">
        <f t="shared" si="72"/>
        <v>13</v>
      </c>
      <c r="U247">
        <v>67686</v>
      </c>
      <c r="V247">
        <v>77900</v>
      </c>
      <c r="W247" t="str">
        <f t="shared" si="73"/>
        <v>High Target</v>
      </c>
      <c r="X247" t="str">
        <f t="shared" si="74"/>
        <v>Medium Target</v>
      </c>
      <c r="Y247" t="s">
        <v>160</v>
      </c>
      <c r="Z247" t="str">
        <f t="shared" si="75"/>
        <v>EXCELLENT SERVICE</v>
      </c>
      <c r="AA247" t="str">
        <f t="shared" si="76"/>
        <v>excellent service</v>
      </c>
      <c r="AB247" t="str">
        <f t="shared" si="77"/>
        <v>Excellent Service</v>
      </c>
    </row>
    <row r="248" spans="1:28">
      <c r="A248" t="s">
        <v>979</v>
      </c>
      <c r="B248" t="s">
        <v>980</v>
      </c>
      <c r="C248">
        <f t="shared" si="60"/>
        <v>11</v>
      </c>
      <c r="D248" t="s">
        <v>12</v>
      </c>
      <c r="E248" t="str">
        <f t="shared" si="59"/>
        <v>Nisha Reddy(E1247) - Sales</v>
      </c>
      <c r="F248" t="str">
        <f t="shared" si="61"/>
        <v>Sales</v>
      </c>
      <c r="G248">
        <f t="shared" si="62"/>
        <v>20</v>
      </c>
      <c r="H248" t="str">
        <f t="shared" si="63"/>
        <v xml:space="preserve">Nisha Reddy(E1247) </v>
      </c>
      <c r="I248" t="s">
        <v>73</v>
      </c>
      <c r="J248" t="str">
        <f t="shared" si="64"/>
        <v>Mumb@i</v>
      </c>
      <c r="K248" t="s">
        <v>981</v>
      </c>
      <c r="L248" t="str">
        <f t="shared" si="65"/>
        <v>Saturday</v>
      </c>
      <c r="M248" t="str">
        <f t="shared" si="66"/>
        <v>Sat</v>
      </c>
      <c r="N248" t="str">
        <f t="shared" si="67"/>
        <v>day</v>
      </c>
      <c r="O248">
        <f t="shared" si="68"/>
        <v>5</v>
      </c>
      <c r="P248">
        <f t="shared" si="69"/>
        <v>2021</v>
      </c>
      <c r="Q248" t="s">
        <v>982</v>
      </c>
      <c r="R248">
        <f t="shared" si="70"/>
        <v>9</v>
      </c>
      <c r="S248">
        <f t="shared" si="71"/>
        <v>2</v>
      </c>
      <c r="T248">
        <f t="shared" si="72"/>
        <v>18</v>
      </c>
      <c r="U248">
        <v>63590</v>
      </c>
      <c r="V248">
        <v>66795</v>
      </c>
      <c r="W248" t="str">
        <f t="shared" si="73"/>
        <v>High Target</v>
      </c>
      <c r="X248" t="str">
        <f t="shared" si="74"/>
        <v>Medium Target</v>
      </c>
      <c r="Y248" t="s">
        <v>31</v>
      </c>
      <c r="Z248" t="str">
        <f t="shared" si="75"/>
        <v>CUSTOMER FOCUSED</v>
      </c>
      <c r="AA248" t="str">
        <f t="shared" si="76"/>
        <v>customer focused</v>
      </c>
      <c r="AB248" t="str">
        <f t="shared" si="77"/>
        <v>Customer Focused</v>
      </c>
    </row>
    <row r="249" spans="1:28">
      <c r="A249" t="s">
        <v>983</v>
      </c>
      <c r="B249" t="s">
        <v>330</v>
      </c>
      <c r="C249">
        <f t="shared" si="60"/>
        <v>12</v>
      </c>
      <c r="D249" t="s">
        <v>42</v>
      </c>
      <c r="E249" t="str">
        <f t="shared" si="59"/>
        <v>Arjun Chopra(E1248) - Finance</v>
      </c>
      <c r="F249" t="str">
        <f t="shared" si="61"/>
        <v>Finance</v>
      </c>
      <c r="G249">
        <f t="shared" si="62"/>
        <v>21</v>
      </c>
      <c r="H249" t="str">
        <f t="shared" si="63"/>
        <v xml:space="preserve">Arjun Chopra(E1248) </v>
      </c>
      <c r="I249" t="s">
        <v>90</v>
      </c>
      <c r="J249" t="str">
        <f t="shared" si="64"/>
        <v>Kolk@ta</v>
      </c>
      <c r="K249" t="s">
        <v>984</v>
      </c>
      <c r="L249" t="str">
        <f t="shared" si="65"/>
        <v>Saturday</v>
      </c>
      <c r="M249" t="str">
        <f t="shared" si="66"/>
        <v>Sat</v>
      </c>
      <c r="N249" t="str">
        <f t="shared" si="67"/>
        <v>day</v>
      </c>
      <c r="O249">
        <f t="shared" si="68"/>
        <v>7</v>
      </c>
      <c r="P249">
        <f t="shared" si="69"/>
        <v>2023</v>
      </c>
      <c r="Q249" t="s">
        <v>985</v>
      </c>
      <c r="R249">
        <f t="shared" si="70"/>
        <v>9</v>
      </c>
      <c r="S249">
        <f t="shared" si="71"/>
        <v>24</v>
      </c>
      <c r="T249">
        <f t="shared" si="72"/>
        <v>5</v>
      </c>
      <c r="U249">
        <v>78458</v>
      </c>
      <c r="V249">
        <v>84743</v>
      </c>
      <c r="W249" t="str">
        <f t="shared" si="73"/>
        <v>High Target</v>
      </c>
      <c r="X249" t="str">
        <f t="shared" si="74"/>
        <v>High Target</v>
      </c>
      <c r="Y249" t="s">
        <v>69</v>
      </c>
      <c r="Z249" t="str">
        <f t="shared" si="75"/>
        <v>GOOD TEAMWORK</v>
      </c>
      <c r="AA249" t="str">
        <f t="shared" si="76"/>
        <v>good teamwork</v>
      </c>
      <c r="AB249" t="str">
        <f t="shared" si="77"/>
        <v>Good Teamwork</v>
      </c>
    </row>
    <row r="250" spans="1:28">
      <c r="A250" t="s">
        <v>986</v>
      </c>
      <c r="B250" t="s">
        <v>987</v>
      </c>
      <c r="C250">
        <f t="shared" si="60"/>
        <v>10</v>
      </c>
      <c r="D250" t="s">
        <v>12</v>
      </c>
      <c r="E250" t="str">
        <f t="shared" si="59"/>
        <v>Isha Reddy(E1249) - Sales</v>
      </c>
      <c r="F250" t="str">
        <f t="shared" si="61"/>
        <v>Sales</v>
      </c>
      <c r="G250">
        <f t="shared" si="62"/>
        <v>19</v>
      </c>
      <c r="H250" t="str">
        <f t="shared" si="63"/>
        <v xml:space="preserve">Isha Reddy(E1249) </v>
      </c>
      <c r="I250" t="s">
        <v>66</v>
      </c>
      <c r="J250" t="str">
        <f t="shared" si="64"/>
        <v>Delhi</v>
      </c>
      <c r="K250" t="s">
        <v>988</v>
      </c>
      <c r="L250" t="str">
        <f t="shared" si="65"/>
        <v>Saturday</v>
      </c>
      <c r="M250" t="str">
        <f t="shared" si="66"/>
        <v>Sat</v>
      </c>
      <c r="N250" t="str">
        <f t="shared" si="67"/>
        <v>day</v>
      </c>
      <c r="O250">
        <f t="shared" si="68"/>
        <v>1</v>
      </c>
      <c r="P250">
        <f t="shared" si="69"/>
        <v>2024</v>
      </c>
      <c r="Q250" t="s">
        <v>989</v>
      </c>
      <c r="R250">
        <f t="shared" si="70"/>
        <v>9</v>
      </c>
      <c r="S250">
        <f t="shared" si="71"/>
        <v>33</v>
      </c>
      <c r="T250">
        <f t="shared" si="72"/>
        <v>8</v>
      </c>
      <c r="U250">
        <v>87294</v>
      </c>
      <c r="V250">
        <v>87700</v>
      </c>
      <c r="W250" t="str">
        <f t="shared" si="73"/>
        <v>High Target</v>
      </c>
      <c r="X250" t="str">
        <f t="shared" si="74"/>
        <v>High Target</v>
      </c>
      <c r="Y250" t="s">
        <v>214</v>
      </c>
      <c r="Z250" t="str">
        <f t="shared" si="75"/>
        <v>POSITIVE ATTITUDE</v>
      </c>
      <c r="AA250" t="str">
        <f t="shared" si="76"/>
        <v>positive attitude</v>
      </c>
      <c r="AB250" t="str">
        <f t="shared" si="77"/>
        <v>Positive Attitude</v>
      </c>
    </row>
    <row r="251" spans="1:28">
      <c r="A251" t="s">
        <v>990</v>
      </c>
      <c r="B251" t="s">
        <v>991</v>
      </c>
      <c r="C251">
        <f t="shared" si="60"/>
        <v>11</v>
      </c>
      <c r="D251" t="s">
        <v>42</v>
      </c>
      <c r="E251" t="str">
        <f t="shared" si="59"/>
        <v>Amit Sharma(E1250) - Finance</v>
      </c>
      <c r="F251" t="str">
        <f t="shared" si="61"/>
        <v>Finance</v>
      </c>
      <c r="G251">
        <f t="shared" si="62"/>
        <v>20</v>
      </c>
      <c r="H251" t="str">
        <f t="shared" si="63"/>
        <v xml:space="preserve">Amit Sharma(E1250) </v>
      </c>
      <c r="I251" t="s">
        <v>80</v>
      </c>
      <c r="J251" t="str">
        <f t="shared" si="64"/>
        <v>Ahmed@bad</v>
      </c>
      <c r="K251" t="s">
        <v>137</v>
      </c>
      <c r="L251" t="str">
        <f t="shared" si="65"/>
        <v>Friday</v>
      </c>
      <c r="M251" t="str">
        <f t="shared" si="66"/>
        <v>Fri</v>
      </c>
      <c r="N251" t="str">
        <f t="shared" si="67"/>
        <v>day</v>
      </c>
      <c r="O251">
        <f t="shared" si="68"/>
        <v>10</v>
      </c>
      <c r="P251">
        <f t="shared" si="69"/>
        <v>2024</v>
      </c>
      <c r="Q251" t="s">
        <v>992</v>
      </c>
      <c r="R251">
        <f t="shared" si="70"/>
        <v>10</v>
      </c>
      <c r="S251">
        <f t="shared" si="71"/>
        <v>34</v>
      </c>
      <c r="T251">
        <f t="shared" si="72"/>
        <v>27</v>
      </c>
      <c r="U251">
        <v>84716</v>
      </c>
      <c r="V251">
        <v>74860</v>
      </c>
      <c r="W251" t="str">
        <f t="shared" si="73"/>
        <v>High Target</v>
      </c>
      <c r="X251" t="str">
        <f t="shared" si="74"/>
        <v>Medium Target</v>
      </c>
      <c r="Y251" t="s">
        <v>214</v>
      </c>
      <c r="Z251" t="str">
        <f t="shared" si="75"/>
        <v>POSITIVE ATTITUDE</v>
      </c>
      <c r="AA251" t="str">
        <f t="shared" si="76"/>
        <v>positive attitude</v>
      </c>
      <c r="AB251" t="str">
        <f t="shared" si="77"/>
        <v>Positive Attitude</v>
      </c>
    </row>
    <row r="252" spans="1:28">
      <c r="A252" t="s">
        <v>993</v>
      </c>
      <c r="B252" t="s">
        <v>960</v>
      </c>
      <c r="C252">
        <f t="shared" si="60"/>
        <v>10</v>
      </c>
      <c r="D252" t="s">
        <v>27</v>
      </c>
      <c r="E252" t="str">
        <f t="shared" si="59"/>
        <v>Pooja Nair(E1251) - Marketing</v>
      </c>
      <c r="F252" t="str">
        <f t="shared" si="61"/>
        <v>Marketing</v>
      </c>
      <c r="G252">
        <f t="shared" si="62"/>
        <v>19</v>
      </c>
      <c r="H252" t="str">
        <f t="shared" si="63"/>
        <v xml:space="preserve">Pooja Nair(E1251) </v>
      </c>
      <c r="I252" t="s">
        <v>35</v>
      </c>
      <c r="J252" t="str">
        <f t="shared" si="64"/>
        <v>Hyder@bad</v>
      </c>
      <c r="K252" t="s">
        <v>994</v>
      </c>
      <c r="L252" t="str">
        <f t="shared" si="65"/>
        <v>Sunday</v>
      </c>
      <c r="M252" t="str">
        <f t="shared" si="66"/>
        <v>Sun</v>
      </c>
      <c r="N252" t="str">
        <f t="shared" si="67"/>
        <v>day</v>
      </c>
      <c r="O252">
        <f t="shared" si="68"/>
        <v>11</v>
      </c>
      <c r="P252">
        <f t="shared" si="69"/>
        <v>2021</v>
      </c>
      <c r="Q252" t="s">
        <v>995</v>
      </c>
      <c r="R252">
        <f t="shared" si="70"/>
        <v>9</v>
      </c>
      <c r="S252">
        <f t="shared" si="71"/>
        <v>12</v>
      </c>
      <c r="T252">
        <f t="shared" si="72"/>
        <v>59</v>
      </c>
      <c r="U252">
        <v>89752</v>
      </c>
      <c r="V252">
        <v>97357</v>
      </c>
      <c r="W252" t="str">
        <f t="shared" si="73"/>
        <v>High Target</v>
      </c>
      <c r="X252" t="str">
        <f t="shared" si="74"/>
        <v>High Target</v>
      </c>
      <c r="Y252" t="s">
        <v>160</v>
      </c>
      <c r="Z252" t="str">
        <f t="shared" si="75"/>
        <v>EXCELLENT SERVICE</v>
      </c>
      <c r="AA252" t="str">
        <f t="shared" si="76"/>
        <v>excellent service</v>
      </c>
      <c r="AB252" t="str">
        <f t="shared" si="77"/>
        <v>Excellent Service</v>
      </c>
    </row>
    <row r="253" spans="1:28">
      <c r="A253" t="s">
        <v>996</v>
      </c>
      <c r="B253" t="s">
        <v>997</v>
      </c>
      <c r="C253">
        <f t="shared" si="60"/>
        <v>12</v>
      </c>
      <c r="D253" t="s">
        <v>12</v>
      </c>
      <c r="E253" t="str">
        <f t="shared" si="59"/>
        <v>Tanya Chopra(E1252) - Sales</v>
      </c>
      <c r="F253" t="str">
        <f t="shared" si="61"/>
        <v>Sales</v>
      </c>
      <c r="G253">
        <f t="shared" si="62"/>
        <v>21</v>
      </c>
      <c r="H253" t="str">
        <f t="shared" si="63"/>
        <v xml:space="preserve">Tanya Chopra(E1252) </v>
      </c>
      <c r="I253" t="s">
        <v>28</v>
      </c>
      <c r="J253" t="str">
        <f t="shared" si="64"/>
        <v>B@ngalore</v>
      </c>
      <c r="K253" t="s">
        <v>998</v>
      </c>
      <c r="L253" t="str">
        <f t="shared" si="65"/>
        <v>Sunday</v>
      </c>
      <c r="M253" t="str">
        <f t="shared" si="66"/>
        <v>Sun</v>
      </c>
      <c r="N253" t="str">
        <f t="shared" si="67"/>
        <v>day</v>
      </c>
      <c r="O253">
        <f t="shared" si="68"/>
        <v>2</v>
      </c>
      <c r="P253">
        <f t="shared" si="69"/>
        <v>2022</v>
      </c>
      <c r="Q253" t="s">
        <v>999</v>
      </c>
      <c r="R253">
        <f t="shared" si="70"/>
        <v>8</v>
      </c>
      <c r="S253">
        <f t="shared" si="71"/>
        <v>6</v>
      </c>
      <c r="T253">
        <f t="shared" si="72"/>
        <v>38</v>
      </c>
      <c r="U253">
        <v>56457</v>
      </c>
      <c r="V253">
        <v>42200</v>
      </c>
      <c r="W253" t="str">
        <f t="shared" si="73"/>
        <v>Low Target</v>
      </c>
      <c r="X253" t="str">
        <f t="shared" si="74"/>
        <v>Low Target</v>
      </c>
      <c r="Y253" t="s">
        <v>16</v>
      </c>
      <c r="Z253" t="str">
        <f t="shared" si="75"/>
        <v>EXCELLENT LEADERSHIP</v>
      </c>
      <c r="AA253" t="str">
        <f t="shared" si="76"/>
        <v>excellent leadership</v>
      </c>
      <c r="AB253" t="str">
        <f t="shared" si="77"/>
        <v>Excellent Leadership</v>
      </c>
    </row>
    <row r="254" spans="1:28">
      <c r="A254" t="s">
        <v>1000</v>
      </c>
      <c r="B254" t="s">
        <v>1001</v>
      </c>
      <c r="C254">
        <f t="shared" si="60"/>
        <v>11</v>
      </c>
      <c r="D254" t="s">
        <v>54</v>
      </c>
      <c r="E254" t="str">
        <f t="shared" si="59"/>
        <v>Nidhi Patel(E1253) - HR</v>
      </c>
      <c r="F254" t="str">
        <f t="shared" si="61"/>
        <v>HR</v>
      </c>
      <c r="G254">
        <f t="shared" si="62"/>
        <v>20</v>
      </c>
      <c r="H254" t="str">
        <f t="shared" si="63"/>
        <v xml:space="preserve">Nidhi Patel(E1253) </v>
      </c>
      <c r="I254" t="s">
        <v>73</v>
      </c>
      <c r="J254" t="str">
        <f t="shared" si="64"/>
        <v>Mumb@i</v>
      </c>
      <c r="K254" t="s">
        <v>1002</v>
      </c>
      <c r="L254" t="str">
        <f t="shared" si="65"/>
        <v>Tuesday</v>
      </c>
      <c r="M254" t="str">
        <f t="shared" si="66"/>
        <v>Tue</v>
      </c>
      <c r="N254" t="str">
        <f t="shared" si="67"/>
        <v>day</v>
      </c>
      <c r="O254">
        <f t="shared" si="68"/>
        <v>4</v>
      </c>
      <c r="P254">
        <f t="shared" si="69"/>
        <v>2023</v>
      </c>
      <c r="Q254" t="s">
        <v>1003</v>
      </c>
      <c r="R254">
        <f t="shared" si="70"/>
        <v>9</v>
      </c>
      <c r="S254">
        <f t="shared" si="71"/>
        <v>14</v>
      </c>
      <c r="T254">
        <f t="shared" si="72"/>
        <v>34</v>
      </c>
      <c r="U254">
        <v>42937</v>
      </c>
      <c r="V254">
        <v>54238</v>
      </c>
      <c r="W254" t="str">
        <f t="shared" si="73"/>
        <v>High Target</v>
      </c>
      <c r="X254" t="str">
        <f t="shared" si="74"/>
        <v>Low Target</v>
      </c>
      <c r="Y254" t="s">
        <v>113</v>
      </c>
      <c r="Z254" t="str">
        <f t="shared" si="75"/>
        <v>QUICK RESPONSE</v>
      </c>
      <c r="AA254" t="str">
        <f t="shared" si="76"/>
        <v>quick response</v>
      </c>
      <c r="AB254" t="str">
        <f t="shared" si="77"/>
        <v>Quick Response</v>
      </c>
    </row>
    <row r="255" spans="1:28">
      <c r="A255" t="s">
        <v>1004</v>
      </c>
      <c r="B255" t="s">
        <v>824</v>
      </c>
      <c r="C255">
        <f t="shared" si="60"/>
        <v>12</v>
      </c>
      <c r="D255" t="s">
        <v>54</v>
      </c>
      <c r="E255" t="str">
        <f t="shared" si="59"/>
        <v>Aakash Gupta(E1254) - HR</v>
      </c>
      <c r="F255" t="str">
        <f t="shared" si="61"/>
        <v>HR</v>
      </c>
      <c r="G255">
        <f t="shared" si="62"/>
        <v>21</v>
      </c>
      <c r="H255" t="str">
        <f t="shared" si="63"/>
        <v xml:space="preserve">Aakash Gupta(E1254) </v>
      </c>
      <c r="I255" t="s">
        <v>35</v>
      </c>
      <c r="J255" t="str">
        <f t="shared" si="64"/>
        <v>Hyder@bad</v>
      </c>
      <c r="K255" t="s">
        <v>1005</v>
      </c>
      <c r="L255" t="str">
        <f t="shared" si="65"/>
        <v>Thursday</v>
      </c>
      <c r="M255" t="str">
        <f t="shared" si="66"/>
        <v>Thu</v>
      </c>
      <c r="N255" t="str">
        <f t="shared" si="67"/>
        <v>day</v>
      </c>
      <c r="O255">
        <f t="shared" si="68"/>
        <v>3</v>
      </c>
      <c r="P255">
        <f t="shared" si="69"/>
        <v>2024</v>
      </c>
      <c r="Q255" t="s">
        <v>1006</v>
      </c>
      <c r="R255">
        <f t="shared" si="70"/>
        <v>10</v>
      </c>
      <c r="S255">
        <f t="shared" si="71"/>
        <v>49</v>
      </c>
      <c r="T255">
        <f t="shared" si="72"/>
        <v>43</v>
      </c>
      <c r="U255">
        <v>99648</v>
      </c>
      <c r="V255">
        <v>93633</v>
      </c>
      <c r="W255" t="str">
        <f t="shared" si="73"/>
        <v>High Target</v>
      </c>
      <c r="X255" t="str">
        <f t="shared" si="74"/>
        <v>High Target</v>
      </c>
      <c r="Y255" t="s">
        <v>76</v>
      </c>
      <c r="Z255" t="str">
        <f t="shared" si="75"/>
        <v>ACCURATE REPORTS</v>
      </c>
      <c r="AA255" t="str">
        <f t="shared" si="76"/>
        <v>accurate reports</v>
      </c>
      <c r="AB255" t="str">
        <f t="shared" si="77"/>
        <v>Accurate Reports</v>
      </c>
    </row>
    <row r="256" spans="1:28">
      <c r="A256" t="s">
        <v>1007</v>
      </c>
      <c r="B256" t="s">
        <v>1008</v>
      </c>
      <c r="C256">
        <f t="shared" si="60"/>
        <v>12</v>
      </c>
      <c r="D256" t="s">
        <v>54</v>
      </c>
      <c r="E256" t="str">
        <f t="shared" si="59"/>
        <v>Anjali Kumar(E1255) - HR</v>
      </c>
      <c r="F256" t="str">
        <f t="shared" si="61"/>
        <v>HR</v>
      </c>
      <c r="G256">
        <f t="shared" si="62"/>
        <v>21</v>
      </c>
      <c r="H256" t="str">
        <f t="shared" si="63"/>
        <v xml:space="preserve">Anjali Kumar(E1255) </v>
      </c>
      <c r="I256" t="s">
        <v>90</v>
      </c>
      <c r="J256" t="str">
        <f t="shared" si="64"/>
        <v>Kolk@ta</v>
      </c>
      <c r="K256" t="s">
        <v>1009</v>
      </c>
      <c r="L256" t="str">
        <f t="shared" si="65"/>
        <v>Thursday</v>
      </c>
      <c r="M256" t="str">
        <f t="shared" si="66"/>
        <v>Thu</v>
      </c>
      <c r="N256" t="str">
        <f t="shared" si="67"/>
        <v>day</v>
      </c>
      <c r="O256">
        <f t="shared" si="68"/>
        <v>9</v>
      </c>
      <c r="P256">
        <f t="shared" si="69"/>
        <v>2022</v>
      </c>
      <c r="Q256" t="s">
        <v>1010</v>
      </c>
      <c r="R256">
        <f t="shared" si="70"/>
        <v>9</v>
      </c>
      <c r="S256">
        <f t="shared" si="71"/>
        <v>3</v>
      </c>
      <c r="T256">
        <f t="shared" si="72"/>
        <v>35</v>
      </c>
      <c r="U256">
        <v>75252</v>
      </c>
      <c r="V256">
        <v>78775</v>
      </c>
      <c r="W256" t="str">
        <f t="shared" si="73"/>
        <v>High Target</v>
      </c>
      <c r="X256" t="str">
        <f t="shared" si="74"/>
        <v>Medium Target</v>
      </c>
      <c r="Y256" t="s">
        <v>69</v>
      </c>
      <c r="Z256" t="str">
        <f t="shared" si="75"/>
        <v>GOOD TEAMWORK</v>
      </c>
      <c r="AA256" t="str">
        <f t="shared" si="76"/>
        <v>good teamwork</v>
      </c>
      <c r="AB256" t="str">
        <f t="shared" si="77"/>
        <v>Good Teamwork</v>
      </c>
    </row>
    <row r="257" spans="1:28">
      <c r="A257" t="s">
        <v>1011</v>
      </c>
      <c r="B257" t="s">
        <v>1012</v>
      </c>
      <c r="C257">
        <f t="shared" si="60"/>
        <v>12</v>
      </c>
      <c r="D257" t="s">
        <v>27</v>
      </c>
      <c r="E257" t="str">
        <f t="shared" si="59"/>
        <v>Nidhi Chopra(E1256) - Marketing</v>
      </c>
      <c r="F257" t="str">
        <f t="shared" si="61"/>
        <v>Marketing</v>
      </c>
      <c r="G257">
        <f t="shared" si="62"/>
        <v>21</v>
      </c>
      <c r="H257" t="str">
        <f t="shared" si="63"/>
        <v xml:space="preserve">Nidhi Chopra(E1256) </v>
      </c>
      <c r="I257" t="s">
        <v>73</v>
      </c>
      <c r="J257" t="str">
        <f t="shared" si="64"/>
        <v>Mumb@i</v>
      </c>
      <c r="K257" t="s">
        <v>1013</v>
      </c>
      <c r="L257" t="str">
        <f t="shared" si="65"/>
        <v>Wednesday</v>
      </c>
      <c r="M257" t="str">
        <f t="shared" si="66"/>
        <v>Wed</v>
      </c>
      <c r="N257" t="str">
        <f t="shared" si="67"/>
        <v>day</v>
      </c>
      <c r="O257">
        <f t="shared" si="68"/>
        <v>12</v>
      </c>
      <c r="P257">
        <f t="shared" si="69"/>
        <v>2022</v>
      </c>
      <c r="Q257" t="s">
        <v>1014</v>
      </c>
      <c r="R257">
        <f t="shared" si="70"/>
        <v>10</v>
      </c>
      <c r="S257">
        <f t="shared" si="71"/>
        <v>42</v>
      </c>
      <c r="T257">
        <f t="shared" si="72"/>
        <v>24</v>
      </c>
      <c r="U257">
        <v>110869</v>
      </c>
      <c r="V257">
        <v>91498</v>
      </c>
      <c r="W257" t="str">
        <f t="shared" si="73"/>
        <v>High Target</v>
      </c>
      <c r="X257" t="str">
        <f t="shared" si="74"/>
        <v>High Target</v>
      </c>
      <c r="Y257" t="s">
        <v>122</v>
      </c>
      <c r="Z257" t="str">
        <f t="shared" si="75"/>
        <v>CREATIVE IDEAS</v>
      </c>
      <c r="AA257" t="str">
        <f t="shared" si="76"/>
        <v>creative ideas</v>
      </c>
      <c r="AB257" t="str">
        <f t="shared" si="77"/>
        <v>Creative Ideas</v>
      </c>
    </row>
    <row r="258" spans="1:28">
      <c r="A258" t="s">
        <v>1015</v>
      </c>
      <c r="B258" t="s">
        <v>1016</v>
      </c>
      <c r="C258">
        <f t="shared" si="60"/>
        <v>16</v>
      </c>
      <c r="D258" t="s">
        <v>27</v>
      </c>
      <c r="E258" t="str">
        <f t="shared" ref="E258:E321" si="78">_xlfn.CONCAT(B258,"(",A258,")"," - ",D258)</f>
        <v>Siddharth Chopra(E1257) - Marketing</v>
      </c>
      <c r="F258" t="str">
        <f t="shared" si="61"/>
        <v>Marketing</v>
      </c>
      <c r="G258">
        <f t="shared" si="62"/>
        <v>25</v>
      </c>
      <c r="H258" t="str">
        <f t="shared" si="63"/>
        <v xml:space="preserve">Siddharth Chopra(E1257) </v>
      </c>
      <c r="I258" t="s">
        <v>66</v>
      </c>
      <c r="J258" t="str">
        <f t="shared" si="64"/>
        <v>Delhi</v>
      </c>
      <c r="K258" t="s">
        <v>1017</v>
      </c>
      <c r="L258" t="str">
        <f t="shared" si="65"/>
        <v>Wednesday</v>
      </c>
      <c r="M258" t="str">
        <f t="shared" si="66"/>
        <v>Wed</v>
      </c>
      <c r="N258" t="str">
        <f t="shared" si="67"/>
        <v>day</v>
      </c>
      <c r="O258">
        <f t="shared" si="68"/>
        <v>9</v>
      </c>
      <c r="P258">
        <f t="shared" si="69"/>
        <v>2022</v>
      </c>
      <c r="Q258" t="s">
        <v>1018</v>
      </c>
      <c r="R258">
        <f t="shared" si="70"/>
        <v>9</v>
      </c>
      <c r="S258">
        <f t="shared" si="71"/>
        <v>11</v>
      </c>
      <c r="T258">
        <f t="shared" si="72"/>
        <v>48</v>
      </c>
      <c r="U258">
        <v>91285</v>
      </c>
      <c r="V258">
        <v>75253</v>
      </c>
      <c r="W258" t="str">
        <f t="shared" si="73"/>
        <v>High Target</v>
      </c>
      <c r="X258" t="str">
        <f t="shared" si="74"/>
        <v>Medium Target</v>
      </c>
      <c r="Y258" t="s">
        <v>76</v>
      </c>
      <c r="Z258" t="str">
        <f t="shared" si="75"/>
        <v>ACCURATE REPORTS</v>
      </c>
      <c r="AA258" t="str">
        <f t="shared" si="76"/>
        <v>accurate reports</v>
      </c>
      <c r="AB258" t="str">
        <f t="shared" si="77"/>
        <v>Accurate Reports</v>
      </c>
    </row>
    <row r="259" spans="1:28">
      <c r="A259" t="s">
        <v>1019</v>
      </c>
      <c r="B259" t="s">
        <v>1020</v>
      </c>
      <c r="C259">
        <f t="shared" ref="C259:C301" si="79">LEN(B259)</f>
        <v>9</v>
      </c>
      <c r="D259" t="s">
        <v>42</v>
      </c>
      <c r="E259" t="str">
        <f t="shared" si="78"/>
        <v>Isha Nair(E1258) - Finance</v>
      </c>
      <c r="F259" t="str">
        <f t="shared" ref="F259:F301" si="80">RIGHT(E259,LEN(E259)-FIND("- ",E259)-1)</f>
        <v>Finance</v>
      </c>
      <c r="G259">
        <f t="shared" ref="G259:G301" si="81">FIND("-",E259)</f>
        <v>18</v>
      </c>
      <c r="H259" t="str">
        <f t="shared" ref="H259:H301" si="82">LEFT(E259,FIND("-",E259)-1)</f>
        <v xml:space="preserve">Isha Nair(E1258) </v>
      </c>
      <c r="I259" t="s">
        <v>66</v>
      </c>
      <c r="J259" t="str">
        <f t="shared" ref="J259:J301" si="83">SUBSTITUTE(I259,"a","@",1)</f>
        <v>Delhi</v>
      </c>
      <c r="K259" t="s">
        <v>1021</v>
      </c>
      <c r="L259" t="str">
        <f t="shared" ref="L259:L301" si="84">TEXT(K259,"dddd")</f>
        <v>Monday</v>
      </c>
      <c r="M259" t="str">
        <f t="shared" ref="M259:M301" si="85">LEFT(L259,3)</f>
        <v>Mon</v>
      </c>
      <c r="N259" t="str">
        <f t="shared" ref="N259:N301" si="86">RIGHT(L259,3)</f>
        <v>day</v>
      </c>
      <c r="O259">
        <f t="shared" ref="O259:O301" si="87">MONTH(K259)</f>
        <v>8</v>
      </c>
      <c r="P259">
        <f t="shared" ref="P259:P301" si="88">YEAR(K259)</f>
        <v>2023</v>
      </c>
      <c r="Q259" t="s">
        <v>1022</v>
      </c>
      <c r="R259">
        <f t="shared" ref="R259:R301" si="89">HOUR(Q259)</f>
        <v>8</v>
      </c>
      <c r="S259">
        <f t="shared" ref="S259:S301" si="90">MINUTE(Q259)</f>
        <v>35</v>
      </c>
      <c r="T259">
        <f t="shared" ref="T259:T301" si="91">SECOND(Q259)</f>
        <v>26</v>
      </c>
      <c r="U259">
        <v>87029</v>
      </c>
      <c r="V259">
        <v>67296</v>
      </c>
      <c r="W259" t="str">
        <f t="shared" ref="W259:W301" si="92">IF(V259&gt;50000,"High Target","Low Target")</f>
        <v>High Target</v>
      </c>
      <c r="X259" t="str">
        <f t="shared" ref="X259:X301" si="93">_xlfn.IFS(V259&lt;60000,"Low Target",V259&lt;80000,"Medium Target",V259&gt;80000,"High Target")</f>
        <v>Medium Target</v>
      </c>
      <c r="Y259" t="s">
        <v>113</v>
      </c>
      <c r="Z259" t="str">
        <f t="shared" ref="Z259:Z301" si="94">UPPER(Y259)</f>
        <v>QUICK RESPONSE</v>
      </c>
      <c r="AA259" t="str">
        <f t="shared" ref="AA259:AA301" si="95">LOWER(Y259)</f>
        <v>quick response</v>
      </c>
      <c r="AB259" t="str">
        <f t="shared" ref="AB259:AB301" si="96">PROPER(Y259)</f>
        <v>Quick Response</v>
      </c>
    </row>
    <row r="260" spans="1:28">
      <c r="A260" t="s">
        <v>1023</v>
      </c>
      <c r="B260" t="s">
        <v>260</v>
      </c>
      <c r="C260">
        <f t="shared" si="79"/>
        <v>11</v>
      </c>
      <c r="D260" t="s">
        <v>42</v>
      </c>
      <c r="E260" t="str">
        <f t="shared" si="78"/>
        <v>Suresh Nair(E1259) - Finance</v>
      </c>
      <c r="F260" t="str">
        <f t="shared" si="80"/>
        <v>Finance</v>
      </c>
      <c r="G260">
        <f t="shared" si="81"/>
        <v>20</v>
      </c>
      <c r="H260" t="str">
        <f t="shared" si="82"/>
        <v xml:space="preserve">Suresh Nair(E1259) </v>
      </c>
      <c r="I260" t="s">
        <v>28</v>
      </c>
      <c r="J260" t="str">
        <f t="shared" si="83"/>
        <v>B@ngalore</v>
      </c>
      <c r="K260" t="s">
        <v>1024</v>
      </c>
      <c r="L260" t="str">
        <f t="shared" si="84"/>
        <v>Tuesday</v>
      </c>
      <c r="M260" t="str">
        <f t="shared" si="85"/>
        <v>Tue</v>
      </c>
      <c r="N260" t="str">
        <f t="shared" si="86"/>
        <v>day</v>
      </c>
      <c r="O260">
        <f t="shared" si="87"/>
        <v>11</v>
      </c>
      <c r="P260">
        <f t="shared" si="88"/>
        <v>2022</v>
      </c>
      <c r="Q260" t="s">
        <v>1025</v>
      </c>
      <c r="R260">
        <f t="shared" si="89"/>
        <v>10</v>
      </c>
      <c r="S260">
        <f t="shared" si="90"/>
        <v>5</v>
      </c>
      <c r="T260">
        <f t="shared" si="91"/>
        <v>59</v>
      </c>
      <c r="U260">
        <v>78795</v>
      </c>
      <c r="V260">
        <v>69477</v>
      </c>
      <c r="W260" t="str">
        <f t="shared" si="92"/>
        <v>High Target</v>
      </c>
      <c r="X260" t="str">
        <f t="shared" si="93"/>
        <v>Medium Target</v>
      </c>
      <c r="Y260" t="s">
        <v>38</v>
      </c>
      <c r="Z260" t="str">
        <f t="shared" si="94"/>
        <v>GOOD COMMUNICATION</v>
      </c>
      <c r="AA260" t="str">
        <f t="shared" si="95"/>
        <v>good communication</v>
      </c>
      <c r="AB260" t="str">
        <f t="shared" si="96"/>
        <v>Good Communication</v>
      </c>
    </row>
    <row r="261" spans="1:28">
      <c r="A261" t="s">
        <v>1026</v>
      </c>
      <c r="B261" t="s">
        <v>179</v>
      </c>
      <c r="C261">
        <f t="shared" si="79"/>
        <v>12</v>
      </c>
      <c r="D261" t="s">
        <v>12</v>
      </c>
      <c r="E261" t="str">
        <f t="shared" si="78"/>
        <v>Ritika Mehta(E1260) - Sales</v>
      </c>
      <c r="F261" t="str">
        <f t="shared" si="80"/>
        <v>Sales</v>
      </c>
      <c r="G261">
        <f t="shared" si="81"/>
        <v>21</v>
      </c>
      <c r="H261" t="str">
        <f t="shared" si="82"/>
        <v xml:space="preserve">Ritika Mehta(E1260) </v>
      </c>
      <c r="I261" t="s">
        <v>13</v>
      </c>
      <c r="J261" t="str">
        <f t="shared" si="83"/>
        <v>Chenn@i</v>
      </c>
      <c r="K261" t="s">
        <v>1027</v>
      </c>
      <c r="L261" t="str">
        <f t="shared" si="84"/>
        <v>Sunday</v>
      </c>
      <c r="M261" t="str">
        <f t="shared" si="85"/>
        <v>Sun</v>
      </c>
      <c r="N261" t="str">
        <f t="shared" si="86"/>
        <v>day</v>
      </c>
      <c r="O261">
        <f t="shared" si="87"/>
        <v>2</v>
      </c>
      <c r="P261">
        <f t="shared" si="88"/>
        <v>2023</v>
      </c>
      <c r="Q261" t="s">
        <v>1028</v>
      </c>
      <c r="R261">
        <f t="shared" si="89"/>
        <v>10</v>
      </c>
      <c r="S261">
        <f t="shared" si="90"/>
        <v>38</v>
      </c>
      <c r="T261">
        <f t="shared" si="91"/>
        <v>38</v>
      </c>
      <c r="U261">
        <v>32360</v>
      </c>
      <c r="V261">
        <v>42591</v>
      </c>
      <c r="W261" t="str">
        <f t="shared" si="92"/>
        <v>Low Target</v>
      </c>
      <c r="X261" t="str">
        <f t="shared" si="93"/>
        <v>Low Target</v>
      </c>
      <c r="Y261" t="s">
        <v>76</v>
      </c>
      <c r="Z261" t="str">
        <f t="shared" si="94"/>
        <v>ACCURATE REPORTS</v>
      </c>
      <c r="AA261" t="str">
        <f t="shared" si="95"/>
        <v>accurate reports</v>
      </c>
      <c r="AB261" t="str">
        <f t="shared" si="96"/>
        <v>Accurate Reports</v>
      </c>
    </row>
    <row r="262" spans="1:28">
      <c r="A262" t="s">
        <v>1029</v>
      </c>
      <c r="B262" t="s">
        <v>392</v>
      </c>
      <c r="C262">
        <f t="shared" si="79"/>
        <v>12</v>
      </c>
      <c r="D262" t="s">
        <v>54</v>
      </c>
      <c r="E262" t="str">
        <f t="shared" si="78"/>
        <v>Tanya Mishra(E1261) - HR</v>
      </c>
      <c r="F262" t="str">
        <f t="shared" si="80"/>
        <v>HR</v>
      </c>
      <c r="G262">
        <f t="shared" si="81"/>
        <v>21</v>
      </c>
      <c r="H262" t="str">
        <f t="shared" si="82"/>
        <v xml:space="preserve">Tanya Mishra(E1261) </v>
      </c>
      <c r="I262" t="s">
        <v>80</v>
      </c>
      <c r="J262" t="str">
        <f t="shared" si="83"/>
        <v>Ahmed@bad</v>
      </c>
      <c r="K262" t="s">
        <v>1030</v>
      </c>
      <c r="L262" t="str">
        <f t="shared" si="84"/>
        <v>Friday</v>
      </c>
      <c r="M262" t="str">
        <f t="shared" si="85"/>
        <v>Fri</v>
      </c>
      <c r="N262" t="str">
        <f t="shared" si="86"/>
        <v>day</v>
      </c>
      <c r="O262">
        <f t="shared" si="87"/>
        <v>3</v>
      </c>
      <c r="P262">
        <f t="shared" si="88"/>
        <v>2022</v>
      </c>
      <c r="Q262" t="s">
        <v>1031</v>
      </c>
      <c r="R262">
        <f t="shared" si="89"/>
        <v>9</v>
      </c>
      <c r="S262">
        <f t="shared" si="90"/>
        <v>19</v>
      </c>
      <c r="T262">
        <f t="shared" si="91"/>
        <v>58</v>
      </c>
      <c r="U262">
        <v>39885</v>
      </c>
      <c r="V262">
        <v>41004</v>
      </c>
      <c r="W262" t="str">
        <f t="shared" si="92"/>
        <v>Low Target</v>
      </c>
      <c r="X262" t="str">
        <f t="shared" si="93"/>
        <v>Low Target</v>
      </c>
      <c r="Y262" t="s">
        <v>488</v>
      </c>
      <c r="Z262" t="str">
        <f t="shared" si="94"/>
        <v>GREAT SUPPORT</v>
      </c>
      <c r="AA262" t="str">
        <f t="shared" si="95"/>
        <v>great support</v>
      </c>
      <c r="AB262" t="str">
        <f t="shared" si="96"/>
        <v>Great Support</v>
      </c>
    </row>
    <row r="263" spans="1:28">
      <c r="A263" t="s">
        <v>1032</v>
      </c>
      <c r="B263" t="s">
        <v>1033</v>
      </c>
      <c r="C263">
        <f t="shared" si="79"/>
        <v>11</v>
      </c>
      <c r="D263" t="s">
        <v>27</v>
      </c>
      <c r="E263" t="str">
        <f t="shared" si="78"/>
        <v>Karan Singh(E1262) - Marketing</v>
      </c>
      <c r="F263" t="str">
        <f t="shared" si="80"/>
        <v>Marketing</v>
      </c>
      <c r="G263">
        <f t="shared" si="81"/>
        <v>20</v>
      </c>
      <c r="H263" t="str">
        <f t="shared" si="82"/>
        <v xml:space="preserve">Karan Singh(E1262) </v>
      </c>
      <c r="I263" t="s">
        <v>28</v>
      </c>
      <c r="J263" t="str">
        <f t="shared" si="83"/>
        <v>B@ngalore</v>
      </c>
      <c r="K263" t="s">
        <v>1034</v>
      </c>
      <c r="L263" t="str">
        <f t="shared" si="84"/>
        <v>Monday</v>
      </c>
      <c r="M263" t="str">
        <f t="shared" si="85"/>
        <v>Mon</v>
      </c>
      <c r="N263" t="str">
        <f t="shared" si="86"/>
        <v>day</v>
      </c>
      <c r="O263">
        <f t="shared" si="87"/>
        <v>11</v>
      </c>
      <c r="P263">
        <f t="shared" si="88"/>
        <v>2024</v>
      </c>
      <c r="Q263" t="s">
        <v>1035</v>
      </c>
      <c r="R263">
        <f t="shared" si="89"/>
        <v>10</v>
      </c>
      <c r="S263">
        <f t="shared" si="90"/>
        <v>45</v>
      </c>
      <c r="T263">
        <f t="shared" si="91"/>
        <v>13</v>
      </c>
      <c r="U263">
        <v>66677</v>
      </c>
      <c r="V263">
        <v>65993</v>
      </c>
      <c r="W263" t="str">
        <f t="shared" si="92"/>
        <v>High Target</v>
      </c>
      <c r="X263" t="str">
        <f t="shared" si="93"/>
        <v>Medium Target</v>
      </c>
      <c r="Y263" t="s">
        <v>45</v>
      </c>
      <c r="Z263" t="str">
        <f t="shared" si="94"/>
        <v>STRONG PRESENTATION</v>
      </c>
      <c r="AA263" t="str">
        <f t="shared" si="95"/>
        <v>strong presentation</v>
      </c>
      <c r="AB263" t="str">
        <f t="shared" si="96"/>
        <v>Strong Presentation</v>
      </c>
    </row>
    <row r="264" spans="1:28">
      <c r="A264" t="s">
        <v>1036</v>
      </c>
      <c r="B264" t="s">
        <v>1037</v>
      </c>
      <c r="C264">
        <f t="shared" si="79"/>
        <v>11</v>
      </c>
      <c r="D264" t="s">
        <v>27</v>
      </c>
      <c r="E264" t="str">
        <f t="shared" si="78"/>
        <v>Rohan Gupta(E1263) - Marketing</v>
      </c>
      <c r="F264" t="str">
        <f t="shared" si="80"/>
        <v>Marketing</v>
      </c>
      <c r="G264">
        <f t="shared" si="81"/>
        <v>20</v>
      </c>
      <c r="H264" t="str">
        <f t="shared" si="82"/>
        <v xml:space="preserve">Rohan Gupta(E1263) </v>
      </c>
      <c r="I264" t="s">
        <v>80</v>
      </c>
      <c r="J264" t="str">
        <f t="shared" si="83"/>
        <v>Ahmed@bad</v>
      </c>
      <c r="K264" t="s">
        <v>1038</v>
      </c>
      <c r="L264" t="str">
        <f t="shared" si="84"/>
        <v>Friday</v>
      </c>
      <c r="M264" t="str">
        <f t="shared" si="85"/>
        <v>Fri</v>
      </c>
      <c r="N264" t="str">
        <f t="shared" si="86"/>
        <v>day</v>
      </c>
      <c r="O264">
        <f t="shared" si="87"/>
        <v>12</v>
      </c>
      <c r="P264">
        <f t="shared" si="88"/>
        <v>2023</v>
      </c>
      <c r="Q264" t="s">
        <v>1039</v>
      </c>
      <c r="R264">
        <f t="shared" si="89"/>
        <v>10</v>
      </c>
      <c r="S264">
        <f t="shared" si="90"/>
        <v>22</v>
      </c>
      <c r="T264">
        <f t="shared" si="91"/>
        <v>19</v>
      </c>
      <c r="U264">
        <v>65710</v>
      </c>
      <c r="V264">
        <v>57141</v>
      </c>
      <c r="W264" t="str">
        <f t="shared" si="92"/>
        <v>High Target</v>
      </c>
      <c r="X264" t="str">
        <f t="shared" si="93"/>
        <v>Low Target</v>
      </c>
      <c r="Y264" t="s">
        <v>45</v>
      </c>
      <c r="Z264" t="str">
        <f t="shared" si="94"/>
        <v>STRONG PRESENTATION</v>
      </c>
      <c r="AA264" t="str">
        <f t="shared" si="95"/>
        <v>strong presentation</v>
      </c>
      <c r="AB264" t="str">
        <f t="shared" si="96"/>
        <v>Strong Presentation</v>
      </c>
    </row>
    <row r="265" spans="1:28">
      <c r="A265" t="s">
        <v>1040</v>
      </c>
      <c r="B265" t="s">
        <v>1041</v>
      </c>
      <c r="C265">
        <f t="shared" si="79"/>
        <v>14</v>
      </c>
      <c r="D265" t="s">
        <v>27</v>
      </c>
      <c r="E265" t="str">
        <f t="shared" si="78"/>
        <v>Aditya Agarwal(E1264) - Marketing</v>
      </c>
      <c r="F265" t="str">
        <f t="shared" si="80"/>
        <v>Marketing</v>
      </c>
      <c r="G265">
        <f t="shared" si="81"/>
        <v>23</v>
      </c>
      <c r="H265" t="str">
        <f t="shared" si="82"/>
        <v xml:space="preserve">Aditya Agarwal(E1264) </v>
      </c>
      <c r="I265" t="s">
        <v>20</v>
      </c>
      <c r="J265" t="str">
        <f t="shared" si="83"/>
        <v>Pune</v>
      </c>
      <c r="K265" t="s">
        <v>1042</v>
      </c>
      <c r="L265" t="str">
        <f t="shared" si="84"/>
        <v>Sunday</v>
      </c>
      <c r="M265" t="str">
        <f t="shared" si="85"/>
        <v>Sun</v>
      </c>
      <c r="N265" t="str">
        <f t="shared" si="86"/>
        <v>day</v>
      </c>
      <c r="O265">
        <f t="shared" si="87"/>
        <v>8</v>
      </c>
      <c r="P265">
        <f t="shared" si="88"/>
        <v>2023</v>
      </c>
      <c r="Q265" t="s">
        <v>1043</v>
      </c>
      <c r="R265">
        <f t="shared" si="89"/>
        <v>9</v>
      </c>
      <c r="S265">
        <f t="shared" si="90"/>
        <v>58</v>
      </c>
      <c r="T265">
        <f t="shared" si="91"/>
        <v>13</v>
      </c>
      <c r="U265">
        <v>69801</v>
      </c>
      <c r="V265">
        <v>64294</v>
      </c>
      <c r="W265" t="str">
        <f t="shared" si="92"/>
        <v>High Target</v>
      </c>
      <c r="X265" t="str">
        <f t="shared" si="93"/>
        <v>Medium Target</v>
      </c>
      <c r="Y265" t="s">
        <v>169</v>
      </c>
      <c r="Z265" t="str">
        <f t="shared" si="94"/>
        <v>DETAILED ANALYSIS</v>
      </c>
      <c r="AA265" t="str">
        <f t="shared" si="95"/>
        <v>detailed analysis</v>
      </c>
      <c r="AB265" t="str">
        <f t="shared" si="96"/>
        <v>Detailed Analysis</v>
      </c>
    </row>
    <row r="266" spans="1:28">
      <c r="A266" t="s">
        <v>1044</v>
      </c>
      <c r="B266" t="s">
        <v>162</v>
      </c>
      <c r="C266">
        <f t="shared" si="79"/>
        <v>12</v>
      </c>
      <c r="D266" t="s">
        <v>54</v>
      </c>
      <c r="E266" t="str">
        <f t="shared" si="78"/>
        <v>Priya Mishra(E1265) - HR</v>
      </c>
      <c r="F266" t="str">
        <f t="shared" si="80"/>
        <v>HR</v>
      </c>
      <c r="G266">
        <f t="shared" si="81"/>
        <v>21</v>
      </c>
      <c r="H266" t="str">
        <f t="shared" si="82"/>
        <v xml:space="preserve">Priya Mishra(E1265) </v>
      </c>
      <c r="I266" t="s">
        <v>66</v>
      </c>
      <c r="J266" t="str">
        <f t="shared" si="83"/>
        <v>Delhi</v>
      </c>
      <c r="K266" t="s">
        <v>1045</v>
      </c>
      <c r="L266" t="str">
        <f t="shared" si="84"/>
        <v>Wednesday</v>
      </c>
      <c r="M266" t="str">
        <f t="shared" si="85"/>
        <v>Wed</v>
      </c>
      <c r="N266" t="str">
        <f t="shared" si="86"/>
        <v>day</v>
      </c>
      <c r="O266">
        <f t="shared" si="87"/>
        <v>2</v>
      </c>
      <c r="P266">
        <f t="shared" si="88"/>
        <v>2021</v>
      </c>
      <c r="Q266" t="s">
        <v>909</v>
      </c>
      <c r="R266">
        <f t="shared" si="89"/>
        <v>9</v>
      </c>
      <c r="S266">
        <f t="shared" si="90"/>
        <v>35</v>
      </c>
      <c r="T266">
        <f t="shared" si="91"/>
        <v>59</v>
      </c>
      <c r="U266">
        <v>90641</v>
      </c>
      <c r="V266">
        <v>78275</v>
      </c>
      <c r="W266" t="str">
        <f t="shared" si="92"/>
        <v>High Target</v>
      </c>
      <c r="X266" t="str">
        <f t="shared" si="93"/>
        <v>Medium Target</v>
      </c>
      <c r="Y266" t="s">
        <v>143</v>
      </c>
      <c r="Z266" t="str">
        <f t="shared" si="94"/>
        <v>NEEDS IMPROVEMENT</v>
      </c>
      <c r="AA266" t="str">
        <f t="shared" si="95"/>
        <v>needs improvement</v>
      </c>
      <c r="AB266" t="str">
        <f t="shared" si="96"/>
        <v>Needs Improvement</v>
      </c>
    </row>
    <row r="267" spans="1:28">
      <c r="A267" t="s">
        <v>1046</v>
      </c>
      <c r="B267" t="s">
        <v>240</v>
      </c>
      <c r="C267">
        <f t="shared" si="79"/>
        <v>11</v>
      </c>
      <c r="D267" t="s">
        <v>42</v>
      </c>
      <c r="E267" t="str">
        <f t="shared" si="78"/>
        <v>Arjun Mehta(E1266) - Finance</v>
      </c>
      <c r="F267" t="str">
        <f t="shared" si="80"/>
        <v>Finance</v>
      </c>
      <c r="G267">
        <f t="shared" si="81"/>
        <v>20</v>
      </c>
      <c r="H267" t="str">
        <f t="shared" si="82"/>
        <v xml:space="preserve">Arjun Mehta(E1266) </v>
      </c>
      <c r="I267" t="s">
        <v>28</v>
      </c>
      <c r="J267" t="str">
        <f t="shared" si="83"/>
        <v>B@ngalore</v>
      </c>
      <c r="K267" t="s">
        <v>1047</v>
      </c>
      <c r="L267" t="str">
        <f t="shared" si="84"/>
        <v>Friday</v>
      </c>
      <c r="M267" t="str">
        <f t="shared" si="85"/>
        <v>Fri</v>
      </c>
      <c r="N267" t="str">
        <f t="shared" si="86"/>
        <v>day</v>
      </c>
      <c r="O267">
        <f t="shared" si="87"/>
        <v>2</v>
      </c>
      <c r="P267">
        <f t="shared" si="88"/>
        <v>2023</v>
      </c>
      <c r="Q267" t="s">
        <v>1048</v>
      </c>
      <c r="R267">
        <f t="shared" si="89"/>
        <v>10</v>
      </c>
      <c r="S267">
        <f t="shared" si="90"/>
        <v>53</v>
      </c>
      <c r="T267">
        <f t="shared" si="91"/>
        <v>15</v>
      </c>
      <c r="U267">
        <v>79844</v>
      </c>
      <c r="V267">
        <v>72722</v>
      </c>
      <c r="W267" t="str">
        <f t="shared" si="92"/>
        <v>High Target</v>
      </c>
      <c r="X267" t="str">
        <f t="shared" si="93"/>
        <v>Medium Target</v>
      </c>
      <c r="Y267" t="s">
        <v>143</v>
      </c>
      <c r="Z267" t="str">
        <f t="shared" si="94"/>
        <v>NEEDS IMPROVEMENT</v>
      </c>
      <c r="AA267" t="str">
        <f t="shared" si="95"/>
        <v>needs improvement</v>
      </c>
      <c r="AB267" t="str">
        <f t="shared" si="96"/>
        <v>Needs Improvement</v>
      </c>
    </row>
    <row r="268" spans="1:28">
      <c r="A268" t="s">
        <v>1049</v>
      </c>
      <c r="B268" t="s">
        <v>655</v>
      </c>
      <c r="C268">
        <f t="shared" si="79"/>
        <v>13</v>
      </c>
      <c r="D268" t="s">
        <v>27</v>
      </c>
      <c r="E268" t="str">
        <f t="shared" si="78"/>
        <v>Harsh Agarwal(E1267) - Marketing</v>
      </c>
      <c r="F268" t="str">
        <f t="shared" si="80"/>
        <v>Marketing</v>
      </c>
      <c r="G268">
        <f t="shared" si="81"/>
        <v>22</v>
      </c>
      <c r="H268" t="str">
        <f t="shared" si="82"/>
        <v xml:space="preserve">Harsh Agarwal(E1267) </v>
      </c>
      <c r="I268" t="s">
        <v>80</v>
      </c>
      <c r="J268" t="str">
        <f t="shared" si="83"/>
        <v>Ahmed@bad</v>
      </c>
      <c r="K268" t="s">
        <v>1050</v>
      </c>
      <c r="L268" t="str">
        <f t="shared" si="84"/>
        <v>Saturday</v>
      </c>
      <c r="M268" t="str">
        <f t="shared" si="85"/>
        <v>Sat</v>
      </c>
      <c r="N268" t="str">
        <f t="shared" si="86"/>
        <v>day</v>
      </c>
      <c r="O268">
        <f t="shared" si="87"/>
        <v>12</v>
      </c>
      <c r="P268">
        <f t="shared" si="88"/>
        <v>2021</v>
      </c>
      <c r="Q268" t="s">
        <v>1051</v>
      </c>
      <c r="R268">
        <f t="shared" si="89"/>
        <v>10</v>
      </c>
      <c r="S268">
        <f t="shared" si="90"/>
        <v>50</v>
      </c>
      <c r="T268">
        <f t="shared" si="91"/>
        <v>22</v>
      </c>
      <c r="U268">
        <v>45264</v>
      </c>
      <c r="V268">
        <v>51092</v>
      </c>
      <c r="W268" t="str">
        <f t="shared" si="92"/>
        <v>High Target</v>
      </c>
      <c r="X268" t="str">
        <f t="shared" si="93"/>
        <v>Low Target</v>
      </c>
      <c r="Y268" t="s">
        <v>23</v>
      </c>
      <c r="Z268" t="str">
        <f t="shared" si="94"/>
        <v>FAST DELIVERY</v>
      </c>
      <c r="AA268" t="str">
        <f t="shared" si="95"/>
        <v>fast delivery</v>
      </c>
      <c r="AB268" t="str">
        <f t="shared" si="96"/>
        <v>Fast Delivery</v>
      </c>
    </row>
    <row r="269" spans="1:28">
      <c r="A269" t="s">
        <v>1052</v>
      </c>
      <c r="B269" t="s">
        <v>450</v>
      </c>
      <c r="C269">
        <f t="shared" si="79"/>
        <v>14</v>
      </c>
      <c r="D269" t="s">
        <v>54</v>
      </c>
      <c r="E269" t="str">
        <f t="shared" si="78"/>
        <v>Ritika Agarwal(E1268) - HR</v>
      </c>
      <c r="F269" t="str">
        <f t="shared" si="80"/>
        <v>HR</v>
      </c>
      <c r="G269">
        <f t="shared" si="81"/>
        <v>23</v>
      </c>
      <c r="H269" t="str">
        <f t="shared" si="82"/>
        <v xml:space="preserve">Ritika Agarwal(E1268) </v>
      </c>
      <c r="I269" t="s">
        <v>73</v>
      </c>
      <c r="J269" t="str">
        <f t="shared" si="83"/>
        <v>Mumb@i</v>
      </c>
      <c r="K269" t="s">
        <v>890</v>
      </c>
      <c r="L269" t="str">
        <f t="shared" si="84"/>
        <v>Sunday</v>
      </c>
      <c r="M269" t="str">
        <f t="shared" si="85"/>
        <v>Sun</v>
      </c>
      <c r="N269" t="str">
        <f t="shared" si="86"/>
        <v>day</v>
      </c>
      <c r="O269">
        <f t="shared" si="87"/>
        <v>12</v>
      </c>
      <c r="P269">
        <f t="shared" si="88"/>
        <v>2023</v>
      </c>
      <c r="Q269" t="s">
        <v>1053</v>
      </c>
      <c r="R269">
        <f t="shared" si="89"/>
        <v>8</v>
      </c>
      <c r="S269">
        <f t="shared" si="90"/>
        <v>53</v>
      </c>
      <c r="T269">
        <f t="shared" si="91"/>
        <v>54</v>
      </c>
      <c r="U269">
        <v>33050</v>
      </c>
      <c r="V269">
        <v>44871</v>
      </c>
      <c r="W269" t="str">
        <f t="shared" si="92"/>
        <v>Low Target</v>
      </c>
      <c r="X269" t="str">
        <f t="shared" si="93"/>
        <v>Low Target</v>
      </c>
      <c r="Y269" t="s">
        <v>31</v>
      </c>
      <c r="Z269" t="str">
        <f t="shared" si="94"/>
        <v>CUSTOMER FOCUSED</v>
      </c>
      <c r="AA269" t="str">
        <f t="shared" si="95"/>
        <v>customer focused</v>
      </c>
      <c r="AB269" t="str">
        <f t="shared" si="96"/>
        <v>Customer Focused</v>
      </c>
    </row>
    <row r="270" spans="1:28">
      <c r="A270" t="s">
        <v>1054</v>
      </c>
      <c r="B270" t="s">
        <v>1055</v>
      </c>
      <c r="C270">
        <f t="shared" si="79"/>
        <v>11</v>
      </c>
      <c r="D270" t="s">
        <v>54</v>
      </c>
      <c r="E270" t="str">
        <f t="shared" si="78"/>
        <v>Amit Chopra(E1269) - HR</v>
      </c>
      <c r="F270" t="str">
        <f t="shared" si="80"/>
        <v>HR</v>
      </c>
      <c r="G270">
        <f t="shared" si="81"/>
        <v>20</v>
      </c>
      <c r="H270" t="str">
        <f t="shared" si="82"/>
        <v xml:space="preserve">Amit Chopra(E1269) </v>
      </c>
      <c r="I270" t="s">
        <v>28</v>
      </c>
      <c r="J270" t="str">
        <f t="shared" si="83"/>
        <v>B@ngalore</v>
      </c>
      <c r="K270" t="s">
        <v>660</v>
      </c>
      <c r="L270" t="str">
        <f t="shared" si="84"/>
        <v>Thursday</v>
      </c>
      <c r="M270" t="str">
        <f t="shared" si="85"/>
        <v>Thu</v>
      </c>
      <c r="N270" t="str">
        <f t="shared" si="86"/>
        <v>day</v>
      </c>
      <c r="O270">
        <f t="shared" si="87"/>
        <v>5</v>
      </c>
      <c r="P270">
        <f t="shared" si="88"/>
        <v>2021</v>
      </c>
      <c r="Q270" t="s">
        <v>1056</v>
      </c>
      <c r="R270">
        <f t="shared" si="89"/>
        <v>10</v>
      </c>
      <c r="S270">
        <f t="shared" si="90"/>
        <v>9</v>
      </c>
      <c r="T270">
        <f t="shared" si="91"/>
        <v>0</v>
      </c>
      <c r="U270">
        <v>72477</v>
      </c>
      <c r="V270">
        <v>54334</v>
      </c>
      <c r="W270" t="str">
        <f t="shared" si="92"/>
        <v>High Target</v>
      </c>
      <c r="X270" t="str">
        <f t="shared" si="93"/>
        <v>Low Target</v>
      </c>
      <c r="Y270" t="s">
        <v>57</v>
      </c>
      <c r="Z270" t="str">
        <f t="shared" si="94"/>
        <v>HELPFUL ATTITUDE</v>
      </c>
      <c r="AA270" t="str">
        <f t="shared" si="95"/>
        <v>helpful attitude</v>
      </c>
      <c r="AB270" t="str">
        <f t="shared" si="96"/>
        <v>Helpful Attitude</v>
      </c>
    </row>
    <row r="271" spans="1:28">
      <c r="A271" t="s">
        <v>1057</v>
      </c>
      <c r="B271" t="s">
        <v>1058</v>
      </c>
      <c r="C271">
        <f t="shared" si="79"/>
        <v>11</v>
      </c>
      <c r="D271" t="s">
        <v>27</v>
      </c>
      <c r="E271" t="str">
        <f t="shared" si="78"/>
        <v>Meera Patel(E1270) - Marketing</v>
      </c>
      <c r="F271" t="str">
        <f t="shared" si="80"/>
        <v>Marketing</v>
      </c>
      <c r="G271">
        <f t="shared" si="81"/>
        <v>20</v>
      </c>
      <c r="H271" t="str">
        <f t="shared" si="82"/>
        <v xml:space="preserve">Meera Patel(E1270) </v>
      </c>
      <c r="I271" t="s">
        <v>80</v>
      </c>
      <c r="J271" t="str">
        <f t="shared" si="83"/>
        <v>Ahmed@bad</v>
      </c>
      <c r="K271" t="s">
        <v>1059</v>
      </c>
      <c r="L271" t="str">
        <f t="shared" si="84"/>
        <v>Tuesday</v>
      </c>
      <c r="M271" t="str">
        <f t="shared" si="85"/>
        <v>Tue</v>
      </c>
      <c r="N271" t="str">
        <f t="shared" si="86"/>
        <v>day</v>
      </c>
      <c r="O271">
        <f t="shared" si="87"/>
        <v>2</v>
      </c>
      <c r="P271">
        <f t="shared" si="88"/>
        <v>2021</v>
      </c>
      <c r="Q271" t="s">
        <v>1060</v>
      </c>
      <c r="R271">
        <f t="shared" si="89"/>
        <v>8</v>
      </c>
      <c r="S271">
        <f t="shared" si="90"/>
        <v>34</v>
      </c>
      <c r="T271">
        <f t="shared" si="91"/>
        <v>35</v>
      </c>
      <c r="U271">
        <v>52733</v>
      </c>
      <c r="V271">
        <v>66957</v>
      </c>
      <c r="W271" t="str">
        <f t="shared" si="92"/>
        <v>High Target</v>
      </c>
      <c r="X271" t="str">
        <f t="shared" si="93"/>
        <v>Medium Target</v>
      </c>
      <c r="Y271" t="s">
        <v>160</v>
      </c>
      <c r="Z271" t="str">
        <f t="shared" si="94"/>
        <v>EXCELLENT SERVICE</v>
      </c>
      <c r="AA271" t="str">
        <f t="shared" si="95"/>
        <v>excellent service</v>
      </c>
      <c r="AB271" t="str">
        <f t="shared" si="96"/>
        <v>Excellent Service</v>
      </c>
    </row>
    <row r="272" spans="1:28">
      <c r="A272" t="s">
        <v>1061</v>
      </c>
      <c r="B272" t="s">
        <v>514</v>
      </c>
      <c r="C272">
        <f t="shared" si="79"/>
        <v>11</v>
      </c>
      <c r="D272" t="s">
        <v>42</v>
      </c>
      <c r="E272" t="str">
        <f t="shared" si="78"/>
        <v>Aakash Shah(E1271) - Finance</v>
      </c>
      <c r="F272" t="str">
        <f t="shared" si="80"/>
        <v>Finance</v>
      </c>
      <c r="G272">
        <f t="shared" si="81"/>
        <v>20</v>
      </c>
      <c r="H272" t="str">
        <f t="shared" si="82"/>
        <v xml:space="preserve">Aakash Shah(E1271) </v>
      </c>
      <c r="I272" t="s">
        <v>73</v>
      </c>
      <c r="J272" t="str">
        <f t="shared" si="83"/>
        <v>Mumb@i</v>
      </c>
      <c r="K272" t="s">
        <v>1062</v>
      </c>
      <c r="L272" t="str">
        <f t="shared" si="84"/>
        <v>Thursday</v>
      </c>
      <c r="M272" t="str">
        <f t="shared" si="85"/>
        <v>Thu</v>
      </c>
      <c r="N272" t="str">
        <f t="shared" si="86"/>
        <v>day</v>
      </c>
      <c r="O272">
        <f t="shared" si="87"/>
        <v>10</v>
      </c>
      <c r="P272">
        <f t="shared" si="88"/>
        <v>2023</v>
      </c>
      <c r="Q272" t="s">
        <v>1063</v>
      </c>
      <c r="R272">
        <f t="shared" si="89"/>
        <v>10</v>
      </c>
      <c r="S272">
        <f t="shared" si="90"/>
        <v>43</v>
      </c>
      <c r="T272">
        <f t="shared" si="91"/>
        <v>27</v>
      </c>
      <c r="U272">
        <v>89581</v>
      </c>
      <c r="V272">
        <v>92833</v>
      </c>
      <c r="W272" t="str">
        <f t="shared" si="92"/>
        <v>High Target</v>
      </c>
      <c r="X272" t="str">
        <f t="shared" si="93"/>
        <v>High Target</v>
      </c>
      <c r="Y272" t="s">
        <v>38</v>
      </c>
      <c r="Z272" t="str">
        <f t="shared" si="94"/>
        <v>GOOD COMMUNICATION</v>
      </c>
      <c r="AA272" t="str">
        <f t="shared" si="95"/>
        <v>good communication</v>
      </c>
      <c r="AB272" t="str">
        <f t="shared" si="96"/>
        <v>Good Communication</v>
      </c>
    </row>
    <row r="273" spans="1:28">
      <c r="A273" t="s">
        <v>1064</v>
      </c>
      <c r="B273" t="s">
        <v>1065</v>
      </c>
      <c r="C273">
        <f t="shared" si="79"/>
        <v>13</v>
      </c>
      <c r="D273" t="s">
        <v>54</v>
      </c>
      <c r="E273" t="str">
        <f t="shared" si="78"/>
        <v>Madhuri Singh(E1272) - HR</v>
      </c>
      <c r="F273" t="str">
        <f t="shared" si="80"/>
        <v>HR</v>
      </c>
      <c r="G273">
        <f t="shared" si="81"/>
        <v>22</v>
      </c>
      <c r="H273" t="str">
        <f t="shared" si="82"/>
        <v xml:space="preserve">Madhuri Singh(E1272) </v>
      </c>
      <c r="I273" t="s">
        <v>28</v>
      </c>
      <c r="J273" t="str">
        <f t="shared" si="83"/>
        <v>B@ngalore</v>
      </c>
      <c r="K273" t="s">
        <v>1066</v>
      </c>
      <c r="L273" t="str">
        <f t="shared" si="84"/>
        <v>Saturday</v>
      </c>
      <c r="M273" t="str">
        <f t="shared" si="85"/>
        <v>Sat</v>
      </c>
      <c r="N273" t="str">
        <f t="shared" si="86"/>
        <v>day</v>
      </c>
      <c r="O273">
        <f t="shared" si="87"/>
        <v>1</v>
      </c>
      <c r="P273">
        <f t="shared" si="88"/>
        <v>2022</v>
      </c>
      <c r="Q273" t="s">
        <v>1067</v>
      </c>
      <c r="R273">
        <f t="shared" si="89"/>
        <v>10</v>
      </c>
      <c r="S273">
        <f t="shared" si="90"/>
        <v>33</v>
      </c>
      <c r="T273">
        <f t="shared" si="91"/>
        <v>16</v>
      </c>
      <c r="U273">
        <v>101653</v>
      </c>
      <c r="V273">
        <v>93425</v>
      </c>
      <c r="W273" t="str">
        <f t="shared" si="92"/>
        <v>High Target</v>
      </c>
      <c r="X273" t="str">
        <f t="shared" si="93"/>
        <v>High Target</v>
      </c>
      <c r="Y273" t="s">
        <v>143</v>
      </c>
      <c r="Z273" t="str">
        <f t="shared" si="94"/>
        <v>NEEDS IMPROVEMENT</v>
      </c>
      <c r="AA273" t="str">
        <f t="shared" si="95"/>
        <v>needs improvement</v>
      </c>
      <c r="AB273" t="str">
        <f t="shared" si="96"/>
        <v>Needs Improvement</v>
      </c>
    </row>
    <row r="274" spans="1:28">
      <c r="A274" t="s">
        <v>1068</v>
      </c>
      <c r="B274" t="s">
        <v>1069</v>
      </c>
      <c r="C274">
        <f t="shared" si="79"/>
        <v>12</v>
      </c>
      <c r="D274" t="s">
        <v>12</v>
      </c>
      <c r="E274" t="str">
        <f t="shared" si="78"/>
        <v>Tanya Bansal(E1273) - Sales</v>
      </c>
      <c r="F274" t="str">
        <f t="shared" si="80"/>
        <v>Sales</v>
      </c>
      <c r="G274">
        <f t="shared" si="81"/>
        <v>21</v>
      </c>
      <c r="H274" t="str">
        <f t="shared" si="82"/>
        <v xml:space="preserve">Tanya Bansal(E1273) </v>
      </c>
      <c r="I274" t="s">
        <v>35</v>
      </c>
      <c r="J274" t="str">
        <f t="shared" si="83"/>
        <v>Hyder@bad</v>
      </c>
      <c r="K274" t="s">
        <v>1070</v>
      </c>
      <c r="L274" t="str">
        <f t="shared" si="84"/>
        <v>Wednesday</v>
      </c>
      <c r="M274" t="str">
        <f t="shared" si="85"/>
        <v>Wed</v>
      </c>
      <c r="N274" t="str">
        <f t="shared" si="86"/>
        <v>day</v>
      </c>
      <c r="O274">
        <f t="shared" si="87"/>
        <v>4</v>
      </c>
      <c r="P274">
        <f t="shared" si="88"/>
        <v>2023</v>
      </c>
      <c r="Q274" t="s">
        <v>1071</v>
      </c>
      <c r="R274">
        <f t="shared" si="89"/>
        <v>9</v>
      </c>
      <c r="S274">
        <f t="shared" si="90"/>
        <v>36</v>
      </c>
      <c r="T274">
        <f t="shared" si="91"/>
        <v>15</v>
      </c>
      <c r="U274">
        <v>85495</v>
      </c>
      <c r="V274">
        <v>85694</v>
      </c>
      <c r="W274" t="str">
        <f t="shared" si="92"/>
        <v>High Target</v>
      </c>
      <c r="X274" t="str">
        <f t="shared" si="93"/>
        <v>High Target</v>
      </c>
      <c r="Y274" t="s">
        <v>143</v>
      </c>
      <c r="Z274" t="str">
        <f t="shared" si="94"/>
        <v>NEEDS IMPROVEMENT</v>
      </c>
      <c r="AA274" t="str">
        <f t="shared" si="95"/>
        <v>needs improvement</v>
      </c>
      <c r="AB274" t="str">
        <f t="shared" si="96"/>
        <v>Needs Improvement</v>
      </c>
    </row>
    <row r="275" spans="1:28">
      <c r="A275" t="s">
        <v>1072</v>
      </c>
      <c r="B275" t="s">
        <v>746</v>
      </c>
      <c r="C275">
        <f t="shared" si="79"/>
        <v>11</v>
      </c>
      <c r="D275" t="s">
        <v>12</v>
      </c>
      <c r="E275" t="str">
        <f t="shared" si="78"/>
        <v>Nidhi Verma(E1274) - Sales</v>
      </c>
      <c r="F275" t="str">
        <f t="shared" si="80"/>
        <v>Sales</v>
      </c>
      <c r="G275">
        <f t="shared" si="81"/>
        <v>20</v>
      </c>
      <c r="H275" t="str">
        <f t="shared" si="82"/>
        <v xml:space="preserve">Nidhi Verma(E1274) </v>
      </c>
      <c r="I275" t="s">
        <v>20</v>
      </c>
      <c r="J275" t="str">
        <f t="shared" si="83"/>
        <v>Pune</v>
      </c>
      <c r="K275" t="s">
        <v>1073</v>
      </c>
      <c r="L275" t="str">
        <f t="shared" si="84"/>
        <v>Tuesday</v>
      </c>
      <c r="M275" t="str">
        <f t="shared" si="85"/>
        <v>Tue</v>
      </c>
      <c r="N275" t="str">
        <f t="shared" si="86"/>
        <v>day</v>
      </c>
      <c r="O275">
        <f t="shared" si="87"/>
        <v>4</v>
      </c>
      <c r="P275">
        <f t="shared" si="88"/>
        <v>2023</v>
      </c>
      <c r="Q275" t="s">
        <v>1074</v>
      </c>
      <c r="R275">
        <f t="shared" si="89"/>
        <v>9</v>
      </c>
      <c r="S275">
        <f t="shared" si="90"/>
        <v>24</v>
      </c>
      <c r="T275">
        <f t="shared" si="91"/>
        <v>35</v>
      </c>
      <c r="U275">
        <v>59872</v>
      </c>
      <c r="V275">
        <v>71195</v>
      </c>
      <c r="W275" t="str">
        <f t="shared" si="92"/>
        <v>High Target</v>
      </c>
      <c r="X275" t="str">
        <f t="shared" si="93"/>
        <v>Medium Target</v>
      </c>
      <c r="Y275" t="s">
        <v>69</v>
      </c>
      <c r="Z275" t="str">
        <f t="shared" si="94"/>
        <v>GOOD TEAMWORK</v>
      </c>
      <c r="AA275" t="str">
        <f t="shared" si="95"/>
        <v>good teamwork</v>
      </c>
      <c r="AB275" t="str">
        <f t="shared" si="96"/>
        <v>Good Teamwork</v>
      </c>
    </row>
    <row r="276" spans="1:28">
      <c r="A276" t="s">
        <v>1075</v>
      </c>
      <c r="B276" t="s">
        <v>1076</v>
      </c>
      <c r="C276">
        <f t="shared" si="79"/>
        <v>10</v>
      </c>
      <c r="D276" t="s">
        <v>12</v>
      </c>
      <c r="E276" t="str">
        <f t="shared" si="78"/>
        <v>Amit Joshi(E1275) - Sales</v>
      </c>
      <c r="F276" t="str">
        <f t="shared" si="80"/>
        <v>Sales</v>
      </c>
      <c r="G276">
        <f t="shared" si="81"/>
        <v>19</v>
      </c>
      <c r="H276" t="str">
        <f t="shared" si="82"/>
        <v xml:space="preserve">Amit Joshi(E1275) </v>
      </c>
      <c r="I276" t="s">
        <v>80</v>
      </c>
      <c r="J276" t="str">
        <f t="shared" si="83"/>
        <v>Ahmed@bad</v>
      </c>
      <c r="K276" t="s">
        <v>1077</v>
      </c>
      <c r="L276" t="str">
        <f t="shared" si="84"/>
        <v>Thursday</v>
      </c>
      <c r="M276" t="str">
        <f t="shared" si="85"/>
        <v>Thu</v>
      </c>
      <c r="N276" t="str">
        <f t="shared" si="86"/>
        <v>day</v>
      </c>
      <c r="O276">
        <f t="shared" si="87"/>
        <v>6</v>
      </c>
      <c r="P276">
        <f t="shared" si="88"/>
        <v>2023</v>
      </c>
      <c r="Q276" t="s">
        <v>1078</v>
      </c>
      <c r="R276">
        <f t="shared" si="89"/>
        <v>10</v>
      </c>
      <c r="S276">
        <f t="shared" si="90"/>
        <v>50</v>
      </c>
      <c r="T276">
        <f t="shared" si="91"/>
        <v>21</v>
      </c>
      <c r="U276">
        <v>68332</v>
      </c>
      <c r="V276">
        <v>77083</v>
      </c>
      <c r="W276" t="str">
        <f t="shared" si="92"/>
        <v>High Target</v>
      </c>
      <c r="X276" t="str">
        <f t="shared" si="93"/>
        <v>Medium Target</v>
      </c>
      <c r="Y276" t="s">
        <v>488</v>
      </c>
      <c r="Z276" t="str">
        <f t="shared" si="94"/>
        <v>GREAT SUPPORT</v>
      </c>
      <c r="AA276" t="str">
        <f t="shared" si="95"/>
        <v>great support</v>
      </c>
      <c r="AB276" t="str">
        <f t="shared" si="96"/>
        <v>Great Support</v>
      </c>
    </row>
    <row r="277" spans="1:28">
      <c r="A277" t="s">
        <v>1079</v>
      </c>
      <c r="B277" t="s">
        <v>820</v>
      </c>
      <c r="C277">
        <f t="shared" si="79"/>
        <v>12</v>
      </c>
      <c r="D277" t="s">
        <v>54</v>
      </c>
      <c r="E277" t="str">
        <f t="shared" si="78"/>
        <v>Aakash Patel(E1276) - HR</v>
      </c>
      <c r="F277" t="str">
        <f t="shared" si="80"/>
        <v>HR</v>
      </c>
      <c r="G277">
        <f t="shared" si="81"/>
        <v>21</v>
      </c>
      <c r="H277" t="str">
        <f t="shared" si="82"/>
        <v xml:space="preserve">Aakash Patel(E1276) </v>
      </c>
      <c r="I277" t="s">
        <v>28</v>
      </c>
      <c r="J277" t="str">
        <f t="shared" si="83"/>
        <v>B@ngalore</v>
      </c>
      <c r="K277" t="s">
        <v>1080</v>
      </c>
      <c r="L277" t="str">
        <f t="shared" si="84"/>
        <v>Monday</v>
      </c>
      <c r="M277" t="str">
        <f t="shared" si="85"/>
        <v>Mon</v>
      </c>
      <c r="N277" t="str">
        <f t="shared" si="86"/>
        <v>day</v>
      </c>
      <c r="O277">
        <f t="shared" si="87"/>
        <v>11</v>
      </c>
      <c r="P277">
        <f t="shared" si="88"/>
        <v>2024</v>
      </c>
      <c r="Q277" t="s">
        <v>359</v>
      </c>
      <c r="R277">
        <f t="shared" si="89"/>
        <v>10</v>
      </c>
      <c r="S277">
        <f t="shared" si="90"/>
        <v>30</v>
      </c>
      <c r="T277">
        <f t="shared" si="91"/>
        <v>17</v>
      </c>
      <c r="U277">
        <v>32923</v>
      </c>
      <c r="V277">
        <v>43051</v>
      </c>
      <c r="W277" t="str">
        <f t="shared" si="92"/>
        <v>Low Target</v>
      </c>
      <c r="X277" t="str">
        <f t="shared" si="93"/>
        <v>Low Target</v>
      </c>
      <c r="Y277" t="s">
        <v>69</v>
      </c>
      <c r="Z277" t="str">
        <f t="shared" si="94"/>
        <v>GOOD TEAMWORK</v>
      </c>
      <c r="AA277" t="str">
        <f t="shared" si="95"/>
        <v>good teamwork</v>
      </c>
      <c r="AB277" t="str">
        <f t="shared" si="96"/>
        <v>Good Teamwork</v>
      </c>
    </row>
    <row r="278" spans="1:28">
      <c r="A278" t="s">
        <v>1081</v>
      </c>
      <c r="B278" t="s">
        <v>1082</v>
      </c>
      <c r="C278">
        <f t="shared" si="79"/>
        <v>12</v>
      </c>
      <c r="D278" t="s">
        <v>12</v>
      </c>
      <c r="E278" t="str">
        <f t="shared" si="78"/>
        <v>Madhuri Shah(E1277) - Sales</v>
      </c>
      <c r="F278" t="str">
        <f t="shared" si="80"/>
        <v>Sales</v>
      </c>
      <c r="G278">
        <f t="shared" si="81"/>
        <v>21</v>
      </c>
      <c r="H278" t="str">
        <f t="shared" si="82"/>
        <v xml:space="preserve">Madhuri Shah(E1277) </v>
      </c>
      <c r="I278" t="s">
        <v>66</v>
      </c>
      <c r="J278" t="str">
        <f t="shared" si="83"/>
        <v>Delhi</v>
      </c>
      <c r="K278" t="s">
        <v>1083</v>
      </c>
      <c r="L278" t="str">
        <f t="shared" si="84"/>
        <v>Friday</v>
      </c>
      <c r="M278" t="str">
        <f t="shared" si="85"/>
        <v>Fri</v>
      </c>
      <c r="N278" t="str">
        <f t="shared" si="86"/>
        <v>day</v>
      </c>
      <c r="O278">
        <f t="shared" si="87"/>
        <v>10</v>
      </c>
      <c r="P278">
        <f t="shared" si="88"/>
        <v>2022</v>
      </c>
      <c r="Q278" t="s">
        <v>1084</v>
      </c>
      <c r="R278">
        <f t="shared" si="89"/>
        <v>8</v>
      </c>
      <c r="S278">
        <f t="shared" si="90"/>
        <v>13</v>
      </c>
      <c r="T278">
        <f t="shared" si="91"/>
        <v>37</v>
      </c>
      <c r="U278">
        <v>60551</v>
      </c>
      <c r="V278">
        <v>49449</v>
      </c>
      <c r="W278" t="str">
        <f t="shared" si="92"/>
        <v>Low Target</v>
      </c>
      <c r="X278" t="str">
        <f t="shared" si="93"/>
        <v>Low Target</v>
      </c>
      <c r="Y278" t="s">
        <v>488</v>
      </c>
      <c r="Z278" t="str">
        <f t="shared" si="94"/>
        <v>GREAT SUPPORT</v>
      </c>
      <c r="AA278" t="str">
        <f t="shared" si="95"/>
        <v>great support</v>
      </c>
      <c r="AB278" t="str">
        <f t="shared" si="96"/>
        <v>Great Support</v>
      </c>
    </row>
    <row r="279" spans="1:28">
      <c r="A279" t="s">
        <v>1085</v>
      </c>
      <c r="B279" t="s">
        <v>1086</v>
      </c>
      <c r="C279">
        <f t="shared" si="79"/>
        <v>11</v>
      </c>
      <c r="D279" t="s">
        <v>54</v>
      </c>
      <c r="E279" t="str">
        <f t="shared" si="78"/>
        <v>Rahul Gupta(E1278) - HR</v>
      </c>
      <c r="F279" t="str">
        <f t="shared" si="80"/>
        <v>HR</v>
      </c>
      <c r="G279">
        <f t="shared" si="81"/>
        <v>20</v>
      </c>
      <c r="H279" t="str">
        <f t="shared" si="82"/>
        <v xml:space="preserve">Rahul Gupta(E1278) </v>
      </c>
      <c r="I279" t="s">
        <v>28</v>
      </c>
      <c r="J279" t="str">
        <f t="shared" si="83"/>
        <v>B@ngalore</v>
      </c>
      <c r="K279" t="s">
        <v>1087</v>
      </c>
      <c r="L279" t="str">
        <f t="shared" si="84"/>
        <v>Wednesday</v>
      </c>
      <c r="M279" t="str">
        <f t="shared" si="85"/>
        <v>Wed</v>
      </c>
      <c r="N279" t="str">
        <f t="shared" si="86"/>
        <v>day</v>
      </c>
      <c r="O279">
        <f t="shared" si="87"/>
        <v>3</v>
      </c>
      <c r="P279">
        <f t="shared" si="88"/>
        <v>2024</v>
      </c>
      <c r="Q279" t="s">
        <v>1088</v>
      </c>
      <c r="R279">
        <f t="shared" si="89"/>
        <v>9</v>
      </c>
      <c r="S279">
        <f t="shared" si="90"/>
        <v>43</v>
      </c>
      <c r="T279">
        <f t="shared" si="91"/>
        <v>57</v>
      </c>
      <c r="U279">
        <v>82166</v>
      </c>
      <c r="V279">
        <v>75426</v>
      </c>
      <c r="W279" t="str">
        <f t="shared" si="92"/>
        <v>High Target</v>
      </c>
      <c r="X279" t="str">
        <f t="shared" si="93"/>
        <v>Medium Target</v>
      </c>
      <c r="Y279" t="s">
        <v>169</v>
      </c>
      <c r="Z279" t="str">
        <f t="shared" si="94"/>
        <v>DETAILED ANALYSIS</v>
      </c>
      <c r="AA279" t="str">
        <f t="shared" si="95"/>
        <v>detailed analysis</v>
      </c>
      <c r="AB279" t="str">
        <f t="shared" si="96"/>
        <v>Detailed Analysis</v>
      </c>
    </row>
    <row r="280" spans="1:28">
      <c r="A280" t="s">
        <v>1089</v>
      </c>
      <c r="B280" t="s">
        <v>506</v>
      </c>
      <c r="C280">
        <f t="shared" si="79"/>
        <v>11</v>
      </c>
      <c r="D280" t="s">
        <v>12</v>
      </c>
      <c r="E280" t="str">
        <f t="shared" si="78"/>
        <v>Harsh Kumar(E1279) - Sales</v>
      </c>
      <c r="F280" t="str">
        <f t="shared" si="80"/>
        <v>Sales</v>
      </c>
      <c r="G280">
        <f t="shared" si="81"/>
        <v>20</v>
      </c>
      <c r="H280" t="str">
        <f t="shared" si="82"/>
        <v xml:space="preserve">Harsh Kumar(E1279) </v>
      </c>
      <c r="I280" t="s">
        <v>35</v>
      </c>
      <c r="J280" t="str">
        <f t="shared" si="83"/>
        <v>Hyder@bad</v>
      </c>
      <c r="K280" t="s">
        <v>1090</v>
      </c>
      <c r="L280" t="str">
        <f t="shared" si="84"/>
        <v>Tuesday</v>
      </c>
      <c r="M280" t="str">
        <f t="shared" si="85"/>
        <v>Tue</v>
      </c>
      <c r="N280" t="str">
        <f t="shared" si="86"/>
        <v>day</v>
      </c>
      <c r="O280">
        <f t="shared" si="87"/>
        <v>4</v>
      </c>
      <c r="P280">
        <f t="shared" si="88"/>
        <v>2021</v>
      </c>
      <c r="Q280" t="s">
        <v>1091</v>
      </c>
      <c r="R280">
        <f t="shared" si="89"/>
        <v>8</v>
      </c>
      <c r="S280">
        <f t="shared" si="90"/>
        <v>27</v>
      </c>
      <c r="T280">
        <f t="shared" si="91"/>
        <v>14</v>
      </c>
      <c r="U280">
        <v>84944</v>
      </c>
      <c r="V280">
        <v>94963</v>
      </c>
      <c r="W280" t="str">
        <f t="shared" si="92"/>
        <v>High Target</v>
      </c>
      <c r="X280" t="str">
        <f t="shared" si="93"/>
        <v>High Target</v>
      </c>
      <c r="Y280" t="s">
        <v>122</v>
      </c>
      <c r="Z280" t="str">
        <f t="shared" si="94"/>
        <v>CREATIVE IDEAS</v>
      </c>
      <c r="AA280" t="str">
        <f t="shared" si="95"/>
        <v>creative ideas</v>
      </c>
      <c r="AB280" t="str">
        <f t="shared" si="96"/>
        <v>Creative Ideas</v>
      </c>
    </row>
    <row r="281" spans="1:28">
      <c r="A281" t="s">
        <v>1092</v>
      </c>
      <c r="B281" t="s">
        <v>1093</v>
      </c>
      <c r="C281">
        <f t="shared" si="79"/>
        <v>11</v>
      </c>
      <c r="D281" t="s">
        <v>27</v>
      </c>
      <c r="E281" t="str">
        <f t="shared" si="78"/>
        <v>Shreya Jain(E1280) - Marketing</v>
      </c>
      <c r="F281" t="str">
        <f t="shared" si="80"/>
        <v>Marketing</v>
      </c>
      <c r="G281">
        <f t="shared" si="81"/>
        <v>20</v>
      </c>
      <c r="H281" t="str">
        <f t="shared" si="82"/>
        <v xml:space="preserve">Shreya Jain(E1280) </v>
      </c>
      <c r="I281" t="s">
        <v>35</v>
      </c>
      <c r="J281" t="str">
        <f t="shared" si="83"/>
        <v>Hyder@bad</v>
      </c>
      <c r="K281" t="s">
        <v>1094</v>
      </c>
      <c r="L281" t="str">
        <f t="shared" si="84"/>
        <v>Tuesday</v>
      </c>
      <c r="M281" t="str">
        <f t="shared" si="85"/>
        <v>Tue</v>
      </c>
      <c r="N281" t="str">
        <f t="shared" si="86"/>
        <v>day</v>
      </c>
      <c r="O281">
        <f t="shared" si="87"/>
        <v>3</v>
      </c>
      <c r="P281">
        <f t="shared" si="88"/>
        <v>2021</v>
      </c>
      <c r="Q281" t="s">
        <v>1095</v>
      </c>
      <c r="R281">
        <f t="shared" si="89"/>
        <v>10</v>
      </c>
      <c r="S281">
        <f t="shared" si="90"/>
        <v>17</v>
      </c>
      <c r="T281">
        <f t="shared" si="91"/>
        <v>50</v>
      </c>
      <c r="U281">
        <v>86679</v>
      </c>
      <c r="V281">
        <v>69527</v>
      </c>
      <c r="W281" t="str">
        <f t="shared" si="92"/>
        <v>High Target</v>
      </c>
      <c r="X281" t="str">
        <f t="shared" si="93"/>
        <v>Medium Target</v>
      </c>
      <c r="Y281" t="s">
        <v>76</v>
      </c>
      <c r="Z281" t="str">
        <f t="shared" si="94"/>
        <v>ACCURATE REPORTS</v>
      </c>
      <c r="AA281" t="str">
        <f t="shared" si="95"/>
        <v>accurate reports</v>
      </c>
      <c r="AB281" t="str">
        <f t="shared" si="96"/>
        <v>Accurate Reports</v>
      </c>
    </row>
    <row r="282" spans="1:28">
      <c r="A282" t="s">
        <v>1096</v>
      </c>
      <c r="B282" t="s">
        <v>537</v>
      </c>
      <c r="C282">
        <f t="shared" si="79"/>
        <v>11</v>
      </c>
      <c r="D282" t="s">
        <v>27</v>
      </c>
      <c r="E282" t="str">
        <f t="shared" si="78"/>
        <v>Meera Goyal(E1281) - Marketing</v>
      </c>
      <c r="F282" t="str">
        <f t="shared" si="80"/>
        <v>Marketing</v>
      </c>
      <c r="G282">
        <f t="shared" si="81"/>
        <v>20</v>
      </c>
      <c r="H282" t="str">
        <f t="shared" si="82"/>
        <v xml:space="preserve">Meera Goyal(E1281) </v>
      </c>
      <c r="I282" t="s">
        <v>90</v>
      </c>
      <c r="J282" t="str">
        <f t="shared" si="83"/>
        <v>Kolk@ta</v>
      </c>
      <c r="K282" t="s">
        <v>1097</v>
      </c>
      <c r="L282" t="str">
        <f t="shared" si="84"/>
        <v>Sunday</v>
      </c>
      <c r="M282" t="str">
        <f t="shared" si="85"/>
        <v>Sun</v>
      </c>
      <c r="N282" t="str">
        <f t="shared" si="86"/>
        <v>day</v>
      </c>
      <c r="O282">
        <f t="shared" si="87"/>
        <v>1</v>
      </c>
      <c r="P282">
        <f t="shared" si="88"/>
        <v>2022</v>
      </c>
      <c r="Q282" t="s">
        <v>1098</v>
      </c>
      <c r="R282">
        <f t="shared" si="89"/>
        <v>10</v>
      </c>
      <c r="S282">
        <f t="shared" si="90"/>
        <v>37</v>
      </c>
      <c r="T282">
        <f t="shared" si="91"/>
        <v>42</v>
      </c>
      <c r="U282">
        <v>55524</v>
      </c>
      <c r="V282">
        <v>64908</v>
      </c>
      <c r="W282" t="str">
        <f t="shared" si="92"/>
        <v>High Target</v>
      </c>
      <c r="X282" t="str">
        <f t="shared" si="93"/>
        <v>Medium Target</v>
      </c>
      <c r="Y282" t="s">
        <v>31</v>
      </c>
      <c r="Z282" t="str">
        <f t="shared" si="94"/>
        <v>CUSTOMER FOCUSED</v>
      </c>
      <c r="AA282" t="str">
        <f t="shared" si="95"/>
        <v>customer focused</v>
      </c>
      <c r="AB282" t="str">
        <f t="shared" si="96"/>
        <v>Customer Focused</v>
      </c>
    </row>
    <row r="283" spans="1:28">
      <c r="A283" t="s">
        <v>1099</v>
      </c>
      <c r="B283" t="s">
        <v>706</v>
      </c>
      <c r="C283">
        <f t="shared" si="79"/>
        <v>12</v>
      </c>
      <c r="D283" t="s">
        <v>54</v>
      </c>
      <c r="E283" t="str">
        <f t="shared" si="78"/>
        <v>Shreya Gupta(E1282) - HR</v>
      </c>
      <c r="F283" t="str">
        <f t="shared" si="80"/>
        <v>HR</v>
      </c>
      <c r="G283">
        <f t="shared" si="81"/>
        <v>21</v>
      </c>
      <c r="H283" t="str">
        <f t="shared" si="82"/>
        <v xml:space="preserve">Shreya Gupta(E1282) </v>
      </c>
      <c r="I283" t="s">
        <v>20</v>
      </c>
      <c r="J283" t="str">
        <f t="shared" si="83"/>
        <v>Pune</v>
      </c>
      <c r="K283" t="s">
        <v>1100</v>
      </c>
      <c r="L283" t="str">
        <f t="shared" si="84"/>
        <v>Friday</v>
      </c>
      <c r="M283" t="str">
        <f t="shared" si="85"/>
        <v>Fri</v>
      </c>
      <c r="N283" t="str">
        <f t="shared" si="86"/>
        <v>day</v>
      </c>
      <c r="O283">
        <f t="shared" si="87"/>
        <v>6</v>
      </c>
      <c r="P283">
        <f t="shared" si="88"/>
        <v>2021</v>
      </c>
      <c r="Q283" t="s">
        <v>1101</v>
      </c>
      <c r="R283">
        <f t="shared" si="89"/>
        <v>9</v>
      </c>
      <c r="S283">
        <f t="shared" si="90"/>
        <v>9</v>
      </c>
      <c r="T283">
        <f t="shared" si="91"/>
        <v>24</v>
      </c>
      <c r="U283">
        <v>81750</v>
      </c>
      <c r="V283">
        <v>86640</v>
      </c>
      <c r="W283" t="str">
        <f t="shared" si="92"/>
        <v>High Target</v>
      </c>
      <c r="X283" t="str">
        <f t="shared" si="93"/>
        <v>High Target</v>
      </c>
      <c r="Y283" t="s">
        <v>23</v>
      </c>
      <c r="Z283" t="str">
        <f t="shared" si="94"/>
        <v>FAST DELIVERY</v>
      </c>
      <c r="AA283" t="str">
        <f t="shared" si="95"/>
        <v>fast delivery</v>
      </c>
      <c r="AB283" t="str">
        <f t="shared" si="96"/>
        <v>Fast Delivery</v>
      </c>
    </row>
    <row r="284" spans="1:28">
      <c r="A284" t="s">
        <v>1102</v>
      </c>
      <c r="B284" t="s">
        <v>1103</v>
      </c>
      <c r="C284">
        <f t="shared" si="79"/>
        <v>11</v>
      </c>
      <c r="D284" t="s">
        <v>42</v>
      </c>
      <c r="E284" t="str">
        <f t="shared" si="78"/>
        <v>Suresh Iyer(E1283) - Finance</v>
      </c>
      <c r="F284" t="str">
        <f t="shared" si="80"/>
        <v>Finance</v>
      </c>
      <c r="G284">
        <f t="shared" si="81"/>
        <v>20</v>
      </c>
      <c r="H284" t="str">
        <f t="shared" si="82"/>
        <v xml:space="preserve">Suresh Iyer(E1283) </v>
      </c>
      <c r="I284" t="s">
        <v>20</v>
      </c>
      <c r="J284" t="str">
        <f t="shared" si="83"/>
        <v>Pune</v>
      </c>
      <c r="K284" t="s">
        <v>1104</v>
      </c>
      <c r="L284" t="str">
        <f t="shared" si="84"/>
        <v>Wednesday</v>
      </c>
      <c r="M284" t="str">
        <f t="shared" si="85"/>
        <v>Wed</v>
      </c>
      <c r="N284" t="str">
        <f t="shared" si="86"/>
        <v>day</v>
      </c>
      <c r="O284">
        <f t="shared" si="87"/>
        <v>7</v>
      </c>
      <c r="P284">
        <f t="shared" si="88"/>
        <v>2021</v>
      </c>
      <c r="Q284" t="s">
        <v>1105</v>
      </c>
      <c r="R284">
        <f t="shared" si="89"/>
        <v>8</v>
      </c>
      <c r="S284">
        <f t="shared" si="90"/>
        <v>19</v>
      </c>
      <c r="T284">
        <f t="shared" si="91"/>
        <v>28</v>
      </c>
      <c r="U284">
        <v>66266</v>
      </c>
      <c r="V284">
        <v>63587</v>
      </c>
      <c r="W284" t="str">
        <f t="shared" si="92"/>
        <v>High Target</v>
      </c>
      <c r="X284" t="str">
        <f t="shared" si="93"/>
        <v>Medium Target</v>
      </c>
      <c r="Y284" t="s">
        <v>38</v>
      </c>
      <c r="Z284" t="str">
        <f t="shared" si="94"/>
        <v>GOOD COMMUNICATION</v>
      </c>
      <c r="AA284" t="str">
        <f t="shared" si="95"/>
        <v>good communication</v>
      </c>
      <c r="AB284" t="str">
        <f t="shared" si="96"/>
        <v>Good Communication</v>
      </c>
    </row>
    <row r="285" spans="1:28">
      <c r="A285" t="s">
        <v>1106</v>
      </c>
      <c r="B285" t="s">
        <v>396</v>
      </c>
      <c r="C285">
        <f t="shared" si="79"/>
        <v>11</v>
      </c>
      <c r="D285" t="s">
        <v>54</v>
      </c>
      <c r="E285" t="str">
        <f t="shared" si="78"/>
        <v>Arjun Verma(E1284) - HR</v>
      </c>
      <c r="F285" t="str">
        <f t="shared" si="80"/>
        <v>HR</v>
      </c>
      <c r="G285">
        <f t="shared" si="81"/>
        <v>20</v>
      </c>
      <c r="H285" t="str">
        <f t="shared" si="82"/>
        <v xml:space="preserve">Arjun Verma(E1284) </v>
      </c>
      <c r="I285" t="s">
        <v>90</v>
      </c>
      <c r="J285" t="str">
        <f t="shared" si="83"/>
        <v>Kolk@ta</v>
      </c>
      <c r="K285" t="s">
        <v>29</v>
      </c>
      <c r="L285" t="str">
        <f t="shared" si="84"/>
        <v>Sunday</v>
      </c>
      <c r="M285" t="str">
        <f t="shared" si="85"/>
        <v>Sun</v>
      </c>
      <c r="N285" t="str">
        <f t="shared" si="86"/>
        <v>day</v>
      </c>
      <c r="O285">
        <f t="shared" si="87"/>
        <v>7</v>
      </c>
      <c r="P285">
        <f t="shared" si="88"/>
        <v>2023</v>
      </c>
      <c r="Q285" t="s">
        <v>1107</v>
      </c>
      <c r="R285">
        <f t="shared" si="89"/>
        <v>10</v>
      </c>
      <c r="S285">
        <f t="shared" si="90"/>
        <v>35</v>
      </c>
      <c r="T285">
        <f t="shared" si="91"/>
        <v>32</v>
      </c>
      <c r="U285">
        <v>58510</v>
      </c>
      <c r="V285">
        <v>66741</v>
      </c>
      <c r="W285" t="str">
        <f t="shared" si="92"/>
        <v>High Target</v>
      </c>
      <c r="X285" t="str">
        <f t="shared" si="93"/>
        <v>Medium Target</v>
      </c>
      <c r="Y285" t="s">
        <v>160</v>
      </c>
      <c r="Z285" t="str">
        <f t="shared" si="94"/>
        <v>EXCELLENT SERVICE</v>
      </c>
      <c r="AA285" t="str">
        <f t="shared" si="95"/>
        <v>excellent service</v>
      </c>
      <c r="AB285" t="str">
        <f t="shared" si="96"/>
        <v>Excellent Service</v>
      </c>
    </row>
    <row r="286" spans="1:28">
      <c r="A286" t="s">
        <v>1108</v>
      </c>
      <c r="B286" t="s">
        <v>1109</v>
      </c>
      <c r="C286">
        <f t="shared" si="79"/>
        <v>11</v>
      </c>
      <c r="D286" t="s">
        <v>12</v>
      </c>
      <c r="E286" t="str">
        <f t="shared" si="78"/>
        <v>Rahul Reddy(E1285) - Sales</v>
      </c>
      <c r="F286" t="str">
        <f t="shared" si="80"/>
        <v>Sales</v>
      </c>
      <c r="G286">
        <f t="shared" si="81"/>
        <v>20</v>
      </c>
      <c r="H286" t="str">
        <f t="shared" si="82"/>
        <v xml:space="preserve">Rahul Reddy(E1285) </v>
      </c>
      <c r="I286" t="s">
        <v>35</v>
      </c>
      <c r="J286" t="str">
        <f t="shared" si="83"/>
        <v>Hyder@bad</v>
      </c>
      <c r="K286" t="s">
        <v>1110</v>
      </c>
      <c r="L286" t="str">
        <f t="shared" si="84"/>
        <v>Tuesday</v>
      </c>
      <c r="M286" t="str">
        <f t="shared" si="85"/>
        <v>Tue</v>
      </c>
      <c r="N286" t="str">
        <f t="shared" si="86"/>
        <v>day</v>
      </c>
      <c r="O286">
        <f t="shared" si="87"/>
        <v>2</v>
      </c>
      <c r="P286">
        <f t="shared" si="88"/>
        <v>2023</v>
      </c>
      <c r="Q286" t="s">
        <v>1111</v>
      </c>
      <c r="R286">
        <f t="shared" si="89"/>
        <v>8</v>
      </c>
      <c r="S286">
        <f t="shared" si="90"/>
        <v>18</v>
      </c>
      <c r="T286">
        <f t="shared" si="91"/>
        <v>26</v>
      </c>
      <c r="U286">
        <v>55964</v>
      </c>
      <c r="V286">
        <v>65414</v>
      </c>
      <c r="W286" t="str">
        <f t="shared" si="92"/>
        <v>High Target</v>
      </c>
      <c r="X286" t="str">
        <f t="shared" si="93"/>
        <v>Medium Target</v>
      </c>
      <c r="Y286" t="s">
        <v>23</v>
      </c>
      <c r="Z286" t="str">
        <f t="shared" si="94"/>
        <v>FAST DELIVERY</v>
      </c>
      <c r="AA286" t="str">
        <f t="shared" si="95"/>
        <v>fast delivery</v>
      </c>
      <c r="AB286" t="str">
        <f t="shared" si="96"/>
        <v>Fast Delivery</v>
      </c>
    </row>
    <row r="287" spans="1:28">
      <c r="A287" t="s">
        <v>1112</v>
      </c>
      <c r="B287" t="s">
        <v>1113</v>
      </c>
      <c r="C287">
        <f t="shared" si="79"/>
        <v>12</v>
      </c>
      <c r="D287" t="s">
        <v>54</v>
      </c>
      <c r="E287" t="str">
        <f t="shared" si="78"/>
        <v>Aditya Goyal(E1286) - HR</v>
      </c>
      <c r="F287" t="str">
        <f t="shared" si="80"/>
        <v>HR</v>
      </c>
      <c r="G287">
        <f t="shared" si="81"/>
        <v>21</v>
      </c>
      <c r="H287" t="str">
        <f t="shared" si="82"/>
        <v xml:space="preserve">Aditya Goyal(E1286) </v>
      </c>
      <c r="I287" t="s">
        <v>66</v>
      </c>
      <c r="J287" t="str">
        <f t="shared" si="83"/>
        <v>Delhi</v>
      </c>
      <c r="K287" t="s">
        <v>1114</v>
      </c>
      <c r="L287" t="str">
        <f t="shared" si="84"/>
        <v>Monday</v>
      </c>
      <c r="M287" t="str">
        <f t="shared" si="85"/>
        <v>Mon</v>
      </c>
      <c r="N287" t="str">
        <f t="shared" si="86"/>
        <v>day</v>
      </c>
      <c r="O287">
        <f t="shared" si="87"/>
        <v>11</v>
      </c>
      <c r="P287">
        <f t="shared" si="88"/>
        <v>2024</v>
      </c>
      <c r="Q287" t="s">
        <v>1115</v>
      </c>
      <c r="R287">
        <f t="shared" si="89"/>
        <v>9</v>
      </c>
      <c r="S287">
        <f t="shared" si="90"/>
        <v>10</v>
      </c>
      <c r="T287">
        <f t="shared" si="91"/>
        <v>8</v>
      </c>
      <c r="U287">
        <v>62357</v>
      </c>
      <c r="V287">
        <v>57623</v>
      </c>
      <c r="W287" t="str">
        <f t="shared" si="92"/>
        <v>High Target</v>
      </c>
      <c r="X287" t="str">
        <f t="shared" si="93"/>
        <v>Low Target</v>
      </c>
      <c r="Y287" t="s">
        <v>143</v>
      </c>
      <c r="Z287" t="str">
        <f t="shared" si="94"/>
        <v>NEEDS IMPROVEMENT</v>
      </c>
      <c r="AA287" t="str">
        <f t="shared" si="95"/>
        <v>needs improvement</v>
      </c>
      <c r="AB287" t="str">
        <f t="shared" si="96"/>
        <v>Needs Improvement</v>
      </c>
    </row>
    <row r="288" spans="1:28">
      <c r="A288" t="s">
        <v>1116</v>
      </c>
      <c r="B288" t="s">
        <v>1117</v>
      </c>
      <c r="C288">
        <f t="shared" si="79"/>
        <v>12</v>
      </c>
      <c r="D288" t="s">
        <v>12</v>
      </c>
      <c r="E288" t="str">
        <f t="shared" si="78"/>
        <v>Kavita Kumar(E1287) - Sales</v>
      </c>
      <c r="F288" t="str">
        <f t="shared" si="80"/>
        <v>Sales</v>
      </c>
      <c r="G288">
        <f t="shared" si="81"/>
        <v>21</v>
      </c>
      <c r="H288" t="str">
        <f t="shared" si="82"/>
        <v xml:space="preserve">Kavita Kumar(E1287) </v>
      </c>
      <c r="I288" t="s">
        <v>66</v>
      </c>
      <c r="J288" t="str">
        <f t="shared" si="83"/>
        <v>Delhi</v>
      </c>
      <c r="K288" t="s">
        <v>1118</v>
      </c>
      <c r="L288" t="str">
        <f t="shared" si="84"/>
        <v>Saturday</v>
      </c>
      <c r="M288" t="str">
        <f t="shared" si="85"/>
        <v>Sat</v>
      </c>
      <c r="N288" t="str">
        <f t="shared" si="86"/>
        <v>day</v>
      </c>
      <c r="O288">
        <f t="shared" si="87"/>
        <v>6</v>
      </c>
      <c r="P288">
        <f t="shared" si="88"/>
        <v>2023</v>
      </c>
      <c r="Q288" t="s">
        <v>1119</v>
      </c>
      <c r="R288">
        <f t="shared" si="89"/>
        <v>9</v>
      </c>
      <c r="S288">
        <f t="shared" si="90"/>
        <v>26</v>
      </c>
      <c r="T288">
        <f t="shared" si="91"/>
        <v>19</v>
      </c>
      <c r="U288">
        <v>61775</v>
      </c>
      <c r="V288">
        <v>71734</v>
      </c>
      <c r="W288" t="str">
        <f t="shared" si="92"/>
        <v>High Target</v>
      </c>
      <c r="X288" t="str">
        <f t="shared" si="93"/>
        <v>Medium Target</v>
      </c>
      <c r="Y288" t="s">
        <v>122</v>
      </c>
      <c r="Z288" t="str">
        <f t="shared" si="94"/>
        <v>CREATIVE IDEAS</v>
      </c>
      <c r="AA288" t="str">
        <f t="shared" si="95"/>
        <v>creative ideas</v>
      </c>
      <c r="AB288" t="str">
        <f t="shared" si="96"/>
        <v>Creative Ideas</v>
      </c>
    </row>
    <row r="289" spans="1:28">
      <c r="A289" t="s">
        <v>1120</v>
      </c>
      <c r="B289" t="s">
        <v>272</v>
      </c>
      <c r="C289">
        <f t="shared" si="79"/>
        <v>11</v>
      </c>
      <c r="D289" t="s">
        <v>27</v>
      </c>
      <c r="E289" t="str">
        <f t="shared" si="78"/>
        <v>Vikram Nair(E1288) - Marketing</v>
      </c>
      <c r="F289" t="str">
        <f t="shared" si="80"/>
        <v>Marketing</v>
      </c>
      <c r="G289">
        <f t="shared" si="81"/>
        <v>20</v>
      </c>
      <c r="H289" t="str">
        <f t="shared" si="82"/>
        <v xml:space="preserve">Vikram Nair(E1288) </v>
      </c>
      <c r="I289" t="s">
        <v>28</v>
      </c>
      <c r="J289" t="str">
        <f t="shared" si="83"/>
        <v>B@ngalore</v>
      </c>
      <c r="K289" t="s">
        <v>1121</v>
      </c>
      <c r="L289" t="str">
        <f t="shared" si="84"/>
        <v>Thursday</v>
      </c>
      <c r="M289" t="str">
        <f t="shared" si="85"/>
        <v>Thu</v>
      </c>
      <c r="N289" t="str">
        <f t="shared" si="86"/>
        <v>day</v>
      </c>
      <c r="O289">
        <f t="shared" si="87"/>
        <v>7</v>
      </c>
      <c r="P289">
        <f t="shared" si="88"/>
        <v>2023</v>
      </c>
      <c r="Q289" t="s">
        <v>1122</v>
      </c>
      <c r="R289">
        <f t="shared" si="89"/>
        <v>8</v>
      </c>
      <c r="S289">
        <f t="shared" si="90"/>
        <v>8</v>
      </c>
      <c r="T289">
        <f t="shared" si="91"/>
        <v>19</v>
      </c>
      <c r="U289">
        <v>51375</v>
      </c>
      <c r="V289">
        <v>40443</v>
      </c>
      <c r="W289" t="str">
        <f t="shared" si="92"/>
        <v>Low Target</v>
      </c>
      <c r="X289" t="str">
        <f t="shared" si="93"/>
        <v>Low Target</v>
      </c>
      <c r="Y289" t="s">
        <v>122</v>
      </c>
      <c r="Z289" t="str">
        <f t="shared" si="94"/>
        <v>CREATIVE IDEAS</v>
      </c>
      <c r="AA289" t="str">
        <f t="shared" si="95"/>
        <v>creative ideas</v>
      </c>
      <c r="AB289" t="str">
        <f t="shared" si="96"/>
        <v>Creative Ideas</v>
      </c>
    </row>
    <row r="290" spans="1:28">
      <c r="A290" t="s">
        <v>1123</v>
      </c>
      <c r="B290" t="s">
        <v>702</v>
      </c>
      <c r="C290">
        <f t="shared" si="79"/>
        <v>10</v>
      </c>
      <c r="D290" t="s">
        <v>27</v>
      </c>
      <c r="E290" t="str">
        <f t="shared" si="78"/>
        <v>Varun Jain(E1289) - Marketing</v>
      </c>
      <c r="F290" t="str">
        <f t="shared" si="80"/>
        <v>Marketing</v>
      </c>
      <c r="G290">
        <f t="shared" si="81"/>
        <v>19</v>
      </c>
      <c r="H290" t="str">
        <f t="shared" si="82"/>
        <v xml:space="preserve">Varun Jain(E1289) </v>
      </c>
      <c r="I290" t="s">
        <v>35</v>
      </c>
      <c r="J290" t="str">
        <f t="shared" si="83"/>
        <v>Hyder@bad</v>
      </c>
      <c r="K290" t="s">
        <v>1124</v>
      </c>
      <c r="L290" t="str">
        <f t="shared" si="84"/>
        <v>Wednesday</v>
      </c>
      <c r="M290" t="str">
        <f t="shared" si="85"/>
        <v>Wed</v>
      </c>
      <c r="N290" t="str">
        <f t="shared" si="86"/>
        <v>day</v>
      </c>
      <c r="O290">
        <f t="shared" si="87"/>
        <v>6</v>
      </c>
      <c r="P290">
        <f t="shared" si="88"/>
        <v>2023</v>
      </c>
      <c r="Q290" t="s">
        <v>1125</v>
      </c>
      <c r="R290">
        <f t="shared" si="89"/>
        <v>9</v>
      </c>
      <c r="S290">
        <f t="shared" si="90"/>
        <v>27</v>
      </c>
      <c r="T290">
        <f t="shared" si="91"/>
        <v>52</v>
      </c>
      <c r="U290">
        <v>87892</v>
      </c>
      <c r="V290">
        <v>93971</v>
      </c>
      <c r="W290" t="str">
        <f t="shared" si="92"/>
        <v>High Target</v>
      </c>
      <c r="X290" t="str">
        <f t="shared" si="93"/>
        <v>High Target</v>
      </c>
      <c r="Y290" t="s">
        <v>143</v>
      </c>
      <c r="Z290" t="str">
        <f t="shared" si="94"/>
        <v>NEEDS IMPROVEMENT</v>
      </c>
      <c r="AA290" t="str">
        <f t="shared" si="95"/>
        <v>needs improvement</v>
      </c>
      <c r="AB290" t="str">
        <f t="shared" si="96"/>
        <v>Needs Improvement</v>
      </c>
    </row>
    <row r="291" spans="1:28">
      <c r="A291" t="s">
        <v>1126</v>
      </c>
      <c r="B291" t="s">
        <v>1127</v>
      </c>
      <c r="C291">
        <f t="shared" si="79"/>
        <v>10</v>
      </c>
      <c r="D291" t="s">
        <v>54</v>
      </c>
      <c r="E291" t="str">
        <f t="shared" si="78"/>
        <v>Rohan Jain(E1290) - HR</v>
      </c>
      <c r="F291" t="str">
        <f t="shared" si="80"/>
        <v>HR</v>
      </c>
      <c r="G291">
        <f t="shared" si="81"/>
        <v>19</v>
      </c>
      <c r="H291" t="str">
        <f t="shared" si="82"/>
        <v xml:space="preserve">Rohan Jain(E1290) </v>
      </c>
      <c r="I291" t="s">
        <v>80</v>
      </c>
      <c r="J291" t="str">
        <f t="shared" si="83"/>
        <v>Ahmed@bad</v>
      </c>
      <c r="K291" t="s">
        <v>794</v>
      </c>
      <c r="L291" t="str">
        <f t="shared" si="84"/>
        <v>Thursday</v>
      </c>
      <c r="M291" t="str">
        <f t="shared" si="85"/>
        <v>Thu</v>
      </c>
      <c r="N291" t="str">
        <f t="shared" si="86"/>
        <v>day</v>
      </c>
      <c r="O291">
        <f t="shared" si="87"/>
        <v>10</v>
      </c>
      <c r="P291">
        <f t="shared" si="88"/>
        <v>2022</v>
      </c>
      <c r="Q291" t="s">
        <v>1128</v>
      </c>
      <c r="R291">
        <f t="shared" si="89"/>
        <v>8</v>
      </c>
      <c r="S291">
        <f t="shared" si="90"/>
        <v>25</v>
      </c>
      <c r="T291">
        <f t="shared" si="91"/>
        <v>20</v>
      </c>
      <c r="U291">
        <v>76278</v>
      </c>
      <c r="V291">
        <v>59100</v>
      </c>
      <c r="W291" t="str">
        <f t="shared" si="92"/>
        <v>High Target</v>
      </c>
      <c r="X291" t="str">
        <f t="shared" si="93"/>
        <v>Low Target</v>
      </c>
      <c r="Y291" t="s">
        <v>16</v>
      </c>
      <c r="Z291" t="str">
        <f t="shared" si="94"/>
        <v>EXCELLENT LEADERSHIP</v>
      </c>
      <c r="AA291" t="str">
        <f t="shared" si="95"/>
        <v>excellent leadership</v>
      </c>
      <c r="AB291" t="str">
        <f t="shared" si="96"/>
        <v>Excellent Leadership</v>
      </c>
    </row>
    <row r="292" spans="1:28">
      <c r="A292" t="s">
        <v>1129</v>
      </c>
      <c r="B292" t="s">
        <v>1130</v>
      </c>
      <c r="C292">
        <f t="shared" si="79"/>
        <v>10</v>
      </c>
      <c r="D292" t="s">
        <v>42</v>
      </c>
      <c r="E292" t="str">
        <f t="shared" si="78"/>
        <v>Tanya Nair(E1291) - Finance</v>
      </c>
      <c r="F292" t="str">
        <f t="shared" si="80"/>
        <v>Finance</v>
      </c>
      <c r="G292">
        <f t="shared" si="81"/>
        <v>19</v>
      </c>
      <c r="H292" t="str">
        <f t="shared" si="82"/>
        <v xml:space="preserve">Tanya Nair(E1291) </v>
      </c>
      <c r="I292" t="s">
        <v>90</v>
      </c>
      <c r="J292" t="str">
        <f t="shared" si="83"/>
        <v>Kolk@ta</v>
      </c>
      <c r="K292" t="s">
        <v>1131</v>
      </c>
      <c r="L292" t="str">
        <f t="shared" si="84"/>
        <v>Friday</v>
      </c>
      <c r="M292" t="str">
        <f t="shared" si="85"/>
        <v>Fri</v>
      </c>
      <c r="N292" t="str">
        <f t="shared" si="86"/>
        <v>day</v>
      </c>
      <c r="O292">
        <f t="shared" si="87"/>
        <v>7</v>
      </c>
      <c r="P292">
        <f t="shared" si="88"/>
        <v>2022</v>
      </c>
      <c r="Q292" t="s">
        <v>1132</v>
      </c>
      <c r="R292">
        <f t="shared" si="89"/>
        <v>9</v>
      </c>
      <c r="S292">
        <f t="shared" si="90"/>
        <v>23</v>
      </c>
      <c r="T292">
        <f t="shared" si="91"/>
        <v>7</v>
      </c>
      <c r="U292">
        <v>75046</v>
      </c>
      <c r="V292">
        <v>76952</v>
      </c>
      <c r="W292" t="str">
        <f t="shared" si="92"/>
        <v>High Target</v>
      </c>
      <c r="X292" t="str">
        <f t="shared" si="93"/>
        <v>Medium Target</v>
      </c>
      <c r="Y292" t="s">
        <v>16</v>
      </c>
      <c r="Z292" t="str">
        <f t="shared" si="94"/>
        <v>EXCELLENT LEADERSHIP</v>
      </c>
      <c r="AA292" t="str">
        <f t="shared" si="95"/>
        <v>excellent leadership</v>
      </c>
      <c r="AB292" t="str">
        <f t="shared" si="96"/>
        <v>Excellent Leadership</v>
      </c>
    </row>
    <row r="293" spans="1:28">
      <c r="A293" t="s">
        <v>1133</v>
      </c>
      <c r="B293" t="s">
        <v>1134</v>
      </c>
      <c r="C293">
        <f t="shared" si="79"/>
        <v>12</v>
      </c>
      <c r="D293" t="s">
        <v>12</v>
      </c>
      <c r="E293" t="str">
        <f t="shared" si="78"/>
        <v>Ritika Joshi(E1292) - Sales</v>
      </c>
      <c r="F293" t="str">
        <f t="shared" si="80"/>
        <v>Sales</v>
      </c>
      <c r="G293">
        <f t="shared" si="81"/>
        <v>21</v>
      </c>
      <c r="H293" t="str">
        <f t="shared" si="82"/>
        <v xml:space="preserve">Ritika Joshi(E1292) </v>
      </c>
      <c r="I293" t="s">
        <v>80</v>
      </c>
      <c r="J293" t="str">
        <f t="shared" si="83"/>
        <v>Ahmed@bad</v>
      </c>
      <c r="K293" t="s">
        <v>1135</v>
      </c>
      <c r="L293" t="str">
        <f t="shared" si="84"/>
        <v>Saturday</v>
      </c>
      <c r="M293" t="str">
        <f t="shared" si="85"/>
        <v>Sat</v>
      </c>
      <c r="N293" t="str">
        <f t="shared" si="86"/>
        <v>day</v>
      </c>
      <c r="O293">
        <f t="shared" si="87"/>
        <v>12</v>
      </c>
      <c r="P293">
        <f t="shared" si="88"/>
        <v>2024</v>
      </c>
      <c r="Q293" t="s">
        <v>1136</v>
      </c>
      <c r="R293">
        <f t="shared" si="89"/>
        <v>8</v>
      </c>
      <c r="S293">
        <f t="shared" si="90"/>
        <v>28</v>
      </c>
      <c r="T293">
        <f t="shared" si="91"/>
        <v>51</v>
      </c>
      <c r="U293">
        <v>48624</v>
      </c>
      <c r="V293">
        <v>59092</v>
      </c>
      <c r="W293" t="str">
        <f t="shared" si="92"/>
        <v>High Target</v>
      </c>
      <c r="X293" t="str">
        <f t="shared" si="93"/>
        <v>Low Target</v>
      </c>
      <c r="Y293" t="s">
        <v>214</v>
      </c>
      <c r="Z293" t="str">
        <f t="shared" si="94"/>
        <v>POSITIVE ATTITUDE</v>
      </c>
      <c r="AA293" t="str">
        <f t="shared" si="95"/>
        <v>positive attitude</v>
      </c>
      <c r="AB293" t="str">
        <f t="shared" si="96"/>
        <v>Positive Attitude</v>
      </c>
    </row>
    <row r="294" spans="1:28">
      <c r="A294" t="s">
        <v>1137</v>
      </c>
      <c r="B294" t="s">
        <v>326</v>
      </c>
      <c r="C294">
        <f t="shared" si="79"/>
        <v>11</v>
      </c>
      <c r="D294" t="s">
        <v>27</v>
      </c>
      <c r="E294" t="str">
        <f t="shared" si="78"/>
        <v>Isha Chopra(E1293) - Marketing</v>
      </c>
      <c r="F294" t="str">
        <f t="shared" si="80"/>
        <v>Marketing</v>
      </c>
      <c r="G294">
        <f t="shared" si="81"/>
        <v>20</v>
      </c>
      <c r="H294" t="str">
        <f t="shared" si="82"/>
        <v xml:space="preserve">Isha Chopra(E1293) </v>
      </c>
      <c r="I294" t="s">
        <v>66</v>
      </c>
      <c r="J294" t="str">
        <f t="shared" si="83"/>
        <v>Delhi</v>
      </c>
      <c r="K294" t="s">
        <v>1138</v>
      </c>
      <c r="L294" t="str">
        <f t="shared" si="84"/>
        <v>Sunday</v>
      </c>
      <c r="M294" t="str">
        <f t="shared" si="85"/>
        <v>Sun</v>
      </c>
      <c r="N294" t="str">
        <f t="shared" si="86"/>
        <v>day</v>
      </c>
      <c r="O294">
        <f t="shared" si="87"/>
        <v>7</v>
      </c>
      <c r="P294">
        <f t="shared" si="88"/>
        <v>2024</v>
      </c>
      <c r="Q294" t="s">
        <v>1139</v>
      </c>
      <c r="R294">
        <f t="shared" si="89"/>
        <v>9</v>
      </c>
      <c r="S294">
        <f t="shared" si="90"/>
        <v>15</v>
      </c>
      <c r="T294">
        <f t="shared" si="91"/>
        <v>16</v>
      </c>
      <c r="U294">
        <v>78267</v>
      </c>
      <c r="V294">
        <v>83166</v>
      </c>
      <c r="W294" t="str">
        <f t="shared" si="92"/>
        <v>High Target</v>
      </c>
      <c r="X294" t="str">
        <f t="shared" si="93"/>
        <v>High Target</v>
      </c>
      <c r="Y294" t="s">
        <v>23</v>
      </c>
      <c r="Z294" t="str">
        <f t="shared" si="94"/>
        <v>FAST DELIVERY</v>
      </c>
      <c r="AA294" t="str">
        <f t="shared" si="95"/>
        <v>fast delivery</v>
      </c>
      <c r="AB294" t="str">
        <f t="shared" si="96"/>
        <v>Fast Delivery</v>
      </c>
    </row>
    <row r="295" spans="1:28">
      <c r="A295" t="s">
        <v>1140</v>
      </c>
      <c r="B295" t="s">
        <v>284</v>
      </c>
      <c r="C295">
        <f t="shared" si="79"/>
        <v>12</v>
      </c>
      <c r="D295" t="s">
        <v>12</v>
      </c>
      <c r="E295" t="str">
        <f t="shared" si="78"/>
        <v>Nisha Bansal(E1294) - Sales</v>
      </c>
      <c r="F295" t="str">
        <f t="shared" si="80"/>
        <v>Sales</v>
      </c>
      <c r="G295">
        <f t="shared" si="81"/>
        <v>21</v>
      </c>
      <c r="H295" t="str">
        <f t="shared" si="82"/>
        <v xml:space="preserve">Nisha Bansal(E1294) </v>
      </c>
      <c r="I295" t="s">
        <v>80</v>
      </c>
      <c r="J295" t="str">
        <f t="shared" si="83"/>
        <v>Ahmed@bad</v>
      </c>
      <c r="K295" t="s">
        <v>1141</v>
      </c>
      <c r="L295" t="str">
        <f t="shared" si="84"/>
        <v>Thursday</v>
      </c>
      <c r="M295" t="str">
        <f t="shared" si="85"/>
        <v>Thu</v>
      </c>
      <c r="N295" t="str">
        <f t="shared" si="86"/>
        <v>day</v>
      </c>
      <c r="O295">
        <f t="shared" si="87"/>
        <v>5</v>
      </c>
      <c r="P295">
        <f t="shared" si="88"/>
        <v>2024</v>
      </c>
      <c r="Q295" t="s">
        <v>1142</v>
      </c>
      <c r="R295">
        <f t="shared" si="89"/>
        <v>9</v>
      </c>
      <c r="S295">
        <f t="shared" si="90"/>
        <v>37</v>
      </c>
      <c r="T295">
        <f t="shared" si="91"/>
        <v>25</v>
      </c>
      <c r="U295">
        <v>93221</v>
      </c>
      <c r="V295">
        <v>75020</v>
      </c>
      <c r="W295" t="str">
        <f t="shared" si="92"/>
        <v>High Target</v>
      </c>
      <c r="X295" t="str">
        <f t="shared" si="93"/>
        <v>Medium Target</v>
      </c>
      <c r="Y295" t="s">
        <v>488</v>
      </c>
      <c r="Z295" t="str">
        <f t="shared" si="94"/>
        <v>GREAT SUPPORT</v>
      </c>
      <c r="AA295" t="str">
        <f t="shared" si="95"/>
        <v>great support</v>
      </c>
      <c r="AB295" t="str">
        <f t="shared" si="96"/>
        <v>Great Support</v>
      </c>
    </row>
    <row r="296" spans="1:28">
      <c r="A296" t="s">
        <v>1143</v>
      </c>
      <c r="B296" t="s">
        <v>1144</v>
      </c>
      <c r="C296">
        <f t="shared" si="79"/>
        <v>14</v>
      </c>
      <c r="D296" t="s">
        <v>12</v>
      </c>
      <c r="E296" t="str">
        <f t="shared" si="78"/>
        <v>Madhuri Chopra(E1295) - Sales</v>
      </c>
      <c r="F296" t="str">
        <f t="shared" si="80"/>
        <v>Sales</v>
      </c>
      <c r="G296">
        <f t="shared" si="81"/>
        <v>23</v>
      </c>
      <c r="H296" t="str">
        <f t="shared" si="82"/>
        <v xml:space="preserve">Madhuri Chopra(E1295) </v>
      </c>
      <c r="I296" t="s">
        <v>35</v>
      </c>
      <c r="J296" t="str">
        <f t="shared" si="83"/>
        <v>Hyder@bad</v>
      </c>
      <c r="K296" t="s">
        <v>1145</v>
      </c>
      <c r="L296" t="str">
        <f t="shared" si="84"/>
        <v>Saturday</v>
      </c>
      <c r="M296" t="str">
        <f t="shared" si="85"/>
        <v>Sat</v>
      </c>
      <c r="N296" t="str">
        <f t="shared" si="86"/>
        <v>day</v>
      </c>
      <c r="O296">
        <f t="shared" si="87"/>
        <v>12</v>
      </c>
      <c r="P296">
        <f t="shared" si="88"/>
        <v>2024</v>
      </c>
      <c r="Q296" t="s">
        <v>1146</v>
      </c>
      <c r="R296">
        <f t="shared" si="89"/>
        <v>10</v>
      </c>
      <c r="S296">
        <f t="shared" si="90"/>
        <v>38</v>
      </c>
      <c r="T296">
        <f t="shared" si="91"/>
        <v>40</v>
      </c>
      <c r="U296">
        <v>90495</v>
      </c>
      <c r="V296">
        <v>99926</v>
      </c>
      <c r="W296" t="str">
        <f t="shared" si="92"/>
        <v>High Target</v>
      </c>
      <c r="X296" t="str">
        <f t="shared" si="93"/>
        <v>High Target</v>
      </c>
      <c r="Y296" t="s">
        <v>38</v>
      </c>
      <c r="Z296" t="str">
        <f t="shared" si="94"/>
        <v>GOOD COMMUNICATION</v>
      </c>
      <c r="AA296" t="str">
        <f t="shared" si="95"/>
        <v>good communication</v>
      </c>
      <c r="AB296" t="str">
        <f t="shared" si="96"/>
        <v>Good Communication</v>
      </c>
    </row>
    <row r="297" spans="1:28">
      <c r="A297" t="s">
        <v>1147</v>
      </c>
      <c r="B297" t="s">
        <v>1148</v>
      </c>
      <c r="C297">
        <f t="shared" si="79"/>
        <v>10</v>
      </c>
      <c r="D297" t="s">
        <v>42</v>
      </c>
      <c r="E297" t="str">
        <f t="shared" si="78"/>
        <v>Harsh Nair(E1296) - Finance</v>
      </c>
      <c r="F297" t="str">
        <f t="shared" si="80"/>
        <v>Finance</v>
      </c>
      <c r="G297">
        <f t="shared" si="81"/>
        <v>19</v>
      </c>
      <c r="H297" t="str">
        <f t="shared" si="82"/>
        <v xml:space="preserve">Harsh Nair(E1296) </v>
      </c>
      <c r="I297" t="s">
        <v>66</v>
      </c>
      <c r="J297" t="str">
        <f t="shared" si="83"/>
        <v>Delhi</v>
      </c>
      <c r="K297" t="s">
        <v>1149</v>
      </c>
      <c r="L297" t="str">
        <f t="shared" si="84"/>
        <v>Sunday</v>
      </c>
      <c r="M297" t="str">
        <f t="shared" si="85"/>
        <v>Sun</v>
      </c>
      <c r="N297" t="str">
        <f t="shared" si="86"/>
        <v>day</v>
      </c>
      <c r="O297">
        <f t="shared" si="87"/>
        <v>8</v>
      </c>
      <c r="P297">
        <f t="shared" si="88"/>
        <v>2024</v>
      </c>
      <c r="Q297" t="s">
        <v>1150</v>
      </c>
      <c r="R297">
        <f t="shared" si="89"/>
        <v>10</v>
      </c>
      <c r="S297">
        <f t="shared" si="90"/>
        <v>2</v>
      </c>
      <c r="T297">
        <f t="shared" si="91"/>
        <v>36</v>
      </c>
      <c r="U297">
        <v>93461</v>
      </c>
      <c r="V297">
        <v>82272</v>
      </c>
      <c r="W297" t="str">
        <f t="shared" si="92"/>
        <v>High Target</v>
      </c>
      <c r="X297" t="str">
        <f t="shared" si="93"/>
        <v>High Target</v>
      </c>
      <c r="Y297" t="s">
        <v>31</v>
      </c>
      <c r="Z297" t="str">
        <f t="shared" si="94"/>
        <v>CUSTOMER FOCUSED</v>
      </c>
      <c r="AA297" t="str">
        <f t="shared" si="95"/>
        <v>customer focused</v>
      </c>
      <c r="AB297" t="str">
        <f t="shared" si="96"/>
        <v>Customer Focused</v>
      </c>
    </row>
    <row r="298" spans="1:28">
      <c r="A298" t="s">
        <v>1151</v>
      </c>
      <c r="B298" t="s">
        <v>1152</v>
      </c>
      <c r="C298">
        <f t="shared" si="79"/>
        <v>12</v>
      </c>
      <c r="D298" t="s">
        <v>12</v>
      </c>
      <c r="E298" t="str">
        <f t="shared" si="78"/>
        <v>Rohan Chopra(E1297) - Sales</v>
      </c>
      <c r="F298" t="str">
        <f t="shared" si="80"/>
        <v>Sales</v>
      </c>
      <c r="G298">
        <f t="shared" si="81"/>
        <v>21</v>
      </c>
      <c r="H298" t="str">
        <f t="shared" si="82"/>
        <v xml:space="preserve">Rohan Chopra(E1297) </v>
      </c>
      <c r="I298" t="s">
        <v>73</v>
      </c>
      <c r="J298" t="str">
        <f t="shared" si="83"/>
        <v>Mumb@i</v>
      </c>
      <c r="K298" t="s">
        <v>1153</v>
      </c>
      <c r="L298" t="str">
        <f t="shared" si="84"/>
        <v>Wednesday</v>
      </c>
      <c r="M298" t="str">
        <f t="shared" si="85"/>
        <v>Wed</v>
      </c>
      <c r="N298" t="str">
        <f t="shared" si="86"/>
        <v>day</v>
      </c>
      <c r="O298">
        <f t="shared" si="87"/>
        <v>7</v>
      </c>
      <c r="P298">
        <f t="shared" si="88"/>
        <v>2021</v>
      </c>
      <c r="Q298" t="s">
        <v>1154</v>
      </c>
      <c r="R298">
        <f t="shared" si="89"/>
        <v>9</v>
      </c>
      <c r="S298">
        <f t="shared" si="90"/>
        <v>14</v>
      </c>
      <c r="T298">
        <f t="shared" si="91"/>
        <v>32</v>
      </c>
      <c r="U298">
        <v>107944</v>
      </c>
      <c r="V298">
        <v>88945</v>
      </c>
      <c r="W298" t="str">
        <f t="shared" si="92"/>
        <v>High Target</v>
      </c>
      <c r="X298" t="str">
        <f t="shared" si="93"/>
        <v>High Target</v>
      </c>
      <c r="Y298" t="s">
        <v>45</v>
      </c>
      <c r="Z298" t="str">
        <f t="shared" si="94"/>
        <v>STRONG PRESENTATION</v>
      </c>
      <c r="AA298" t="str">
        <f t="shared" si="95"/>
        <v>strong presentation</v>
      </c>
      <c r="AB298" t="str">
        <f t="shared" si="96"/>
        <v>Strong Presentation</v>
      </c>
    </row>
    <row r="299" spans="1:28">
      <c r="A299" t="s">
        <v>1155</v>
      </c>
      <c r="B299" t="s">
        <v>952</v>
      </c>
      <c r="C299">
        <f t="shared" si="79"/>
        <v>13</v>
      </c>
      <c r="D299" t="s">
        <v>54</v>
      </c>
      <c r="E299" t="str">
        <f t="shared" si="78"/>
        <v>Manish Mishra(E1298) - HR</v>
      </c>
      <c r="F299" t="str">
        <f t="shared" si="80"/>
        <v>HR</v>
      </c>
      <c r="G299">
        <f t="shared" si="81"/>
        <v>22</v>
      </c>
      <c r="H299" t="str">
        <f t="shared" si="82"/>
        <v xml:space="preserve">Manish Mishra(E1298) </v>
      </c>
      <c r="I299" t="s">
        <v>80</v>
      </c>
      <c r="J299" t="str">
        <f t="shared" si="83"/>
        <v>Ahmed@bad</v>
      </c>
      <c r="K299" t="s">
        <v>1156</v>
      </c>
      <c r="L299" t="str">
        <f t="shared" si="84"/>
        <v>Monday</v>
      </c>
      <c r="M299" t="str">
        <f t="shared" si="85"/>
        <v>Mon</v>
      </c>
      <c r="N299" t="str">
        <f t="shared" si="86"/>
        <v>day</v>
      </c>
      <c r="O299">
        <f t="shared" si="87"/>
        <v>2</v>
      </c>
      <c r="P299">
        <f t="shared" si="88"/>
        <v>2023</v>
      </c>
      <c r="Q299" t="s">
        <v>1157</v>
      </c>
      <c r="R299">
        <f t="shared" si="89"/>
        <v>9</v>
      </c>
      <c r="S299">
        <f t="shared" si="90"/>
        <v>29</v>
      </c>
      <c r="T299">
        <f t="shared" si="91"/>
        <v>49</v>
      </c>
      <c r="U299">
        <v>102333</v>
      </c>
      <c r="V299">
        <v>84535</v>
      </c>
      <c r="W299" t="str">
        <f t="shared" si="92"/>
        <v>High Target</v>
      </c>
      <c r="X299" t="str">
        <f t="shared" si="93"/>
        <v>High Target</v>
      </c>
      <c r="Y299" t="s">
        <v>113</v>
      </c>
      <c r="Z299" t="str">
        <f t="shared" si="94"/>
        <v>QUICK RESPONSE</v>
      </c>
      <c r="AA299" t="str">
        <f t="shared" si="95"/>
        <v>quick response</v>
      </c>
      <c r="AB299" t="str">
        <f t="shared" si="96"/>
        <v>Quick Response</v>
      </c>
    </row>
    <row r="300" spans="1:28">
      <c r="A300" t="s">
        <v>1158</v>
      </c>
      <c r="B300" t="s">
        <v>1159</v>
      </c>
      <c r="C300">
        <f t="shared" si="79"/>
        <v>12</v>
      </c>
      <c r="D300" t="s">
        <v>27</v>
      </c>
      <c r="E300" t="str">
        <f t="shared" si="78"/>
        <v>Meera Sharma(E1299) - Marketing</v>
      </c>
      <c r="F300" t="str">
        <f t="shared" si="80"/>
        <v>Marketing</v>
      </c>
      <c r="G300">
        <f t="shared" si="81"/>
        <v>21</v>
      </c>
      <c r="H300" t="str">
        <f t="shared" si="82"/>
        <v xml:space="preserve">Meera Sharma(E1299) </v>
      </c>
      <c r="I300" t="s">
        <v>20</v>
      </c>
      <c r="J300" t="str">
        <f t="shared" si="83"/>
        <v>Pune</v>
      </c>
      <c r="K300" t="s">
        <v>1160</v>
      </c>
      <c r="L300" t="str">
        <f t="shared" si="84"/>
        <v>Monday</v>
      </c>
      <c r="M300" t="str">
        <f t="shared" si="85"/>
        <v>Mon</v>
      </c>
      <c r="N300" t="str">
        <f t="shared" si="86"/>
        <v>day</v>
      </c>
      <c r="O300">
        <f t="shared" si="87"/>
        <v>8</v>
      </c>
      <c r="P300">
        <f t="shared" si="88"/>
        <v>2022</v>
      </c>
      <c r="Q300" t="s">
        <v>1161</v>
      </c>
      <c r="R300">
        <f t="shared" si="89"/>
        <v>9</v>
      </c>
      <c r="S300">
        <f t="shared" si="90"/>
        <v>58</v>
      </c>
      <c r="T300">
        <f t="shared" si="91"/>
        <v>5</v>
      </c>
      <c r="U300">
        <v>41890</v>
      </c>
      <c r="V300">
        <v>47606</v>
      </c>
      <c r="W300" t="str">
        <f t="shared" si="92"/>
        <v>Low Target</v>
      </c>
      <c r="X300" t="str">
        <f t="shared" si="93"/>
        <v>Low Target</v>
      </c>
      <c r="Y300" t="s">
        <v>122</v>
      </c>
      <c r="Z300" t="str">
        <f t="shared" si="94"/>
        <v>CREATIVE IDEAS</v>
      </c>
      <c r="AA300" t="str">
        <f t="shared" si="95"/>
        <v>creative ideas</v>
      </c>
      <c r="AB300" t="str">
        <f t="shared" si="96"/>
        <v>Creative Ideas</v>
      </c>
    </row>
    <row r="301" spans="1:28">
      <c r="A301" t="s">
        <v>1162</v>
      </c>
      <c r="B301" t="s">
        <v>777</v>
      </c>
      <c r="C301">
        <f t="shared" si="79"/>
        <v>11</v>
      </c>
      <c r="D301" t="s">
        <v>27</v>
      </c>
      <c r="E301" t="str">
        <f t="shared" si="78"/>
        <v>Anjali Iyer(E1300) - Marketing</v>
      </c>
      <c r="F301" t="str">
        <f t="shared" si="80"/>
        <v>Marketing</v>
      </c>
      <c r="G301">
        <f t="shared" si="81"/>
        <v>20</v>
      </c>
      <c r="H301" t="str">
        <f t="shared" si="82"/>
        <v xml:space="preserve">Anjali Iyer(E1300) </v>
      </c>
      <c r="I301" t="s">
        <v>28</v>
      </c>
      <c r="J301" t="str">
        <f t="shared" si="83"/>
        <v>B@ngalore</v>
      </c>
      <c r="K301" t="s">
        <v>1163</v>
      </c>
      <c r="L301" t="str">
        <f t="shared" si="84"/>
        <v>Monday</v>
      </c>
      <c r="M301" t="str">
        <f t="shared" si="85"/>
        <v>Mon</v>
      </c>
      <c r="N301" t="str">
        <f t="shared" si="86"/>
        <v>day</v>
      </c>
      <c r="O301">
        <f t="shared" si="87"/>
        <v>12</v>
      </c>
      <c r="P301">
        <f t="shared" si="88"/>
        <v>2023</v>
      </c>
      <c r="Q301" t="s">
        <v>1164</v>
      </c>
      <c r="R301">
        <f t="shared" si="89"/>
        <v>9</v>
      </c>
      <c r="S301">
        <f t="shared" si="90"/>
        <v>22</v>
      </c>
      <c r="T301">
        <f t="shared" si="91"/>
        <v>30</v>
      </c>
      <c r="U301">
        <v>60112</v>
      </c>
      <c r="V301">
        <v>46397</v>
      </c>
      <c r="W301" t="str">
        <f t="shared" si="92"/>
        <v>Low Target</v>
      </c>
      <c r="X301" t="str">
        <f t="shared" si="93"/>
        <v>Low Target</v>
      </c>
      <c r="Y301" t="s">
        <v>23</v>
      </c>
      <c r="Z301" t="str">
        <f t="shared" si="94"/>
        <v>FAST DELIVERY</v>
      </c>
      <c r="AA301" t="str">
        <f t="shared" si="95"/>
        <v>fast delivery</v>
      </c>
      <c r="AB301" t="str">
        <f t="shared" si="96"/>
        <v>Fast Delivery</v>
      </c>
    </row>
  </sheetData>
  <autoFilter ref="A1:AL301" xr:uid="{00000000-0001-0000-0000-000000000000}"/>
  <mergeCells count="1">
    <mergeCell ref="AG5:AH5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Sonali Verma</cp:lastModifiedBy>
  <dcterms:created xsi:type="dcterms:W3CDTF">2026-06-19T06:26:00Z</dcterms:created>
  <dcterms:modified xsi:type="dcterms:W3CDTF">2026-08-21T16:42:27Z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56AC2D5F4E10416383D0AA46410823D0_12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